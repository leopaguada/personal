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 " sheetId="1" state="visible" r:id="rId3"/>
    <sheet name="Cuadro por sede y horario" sheetId="2" state="visible" r:id="rId4"/>
  </sheets>
  <definedNames>
    <definedName function="false" hidden="true" localSheetId="0" name="_xlnm._FilterDatabase" vbProcedure="false">'Calendario '!$A$2:$F$106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<sst xmlns="http://schemas.openxmlformats.org/spreadsheetml/2006/main" count="615" uniqueCount="89">
  <si>
    <t xml:space="preserve">PROPUESTA DE CALENDARIO — LIGA SANTA LUCÍA 2026–2027</t>
  </si>
  <si>
    <t xml:space="preserve">Fecha</t>
  </si>
  <si>
    <t xml:space="preserve">Día</t>
  </si>
  <si>
    <t xml:space="preserve">Hora</t>
  </si>
  <si>
    <t xml:space="preserve">Cancha</t>
  </si>
  <si>
    <t xml:space="preserve">Local</t>
  </si>
  <si>
    <t xml:space="preserve">Visita</t>
  </si>
  <si>
    <t xml:space="preserve">JORNADA 1</t>
  </si>
  <si>
    <t xml:space="preserve">Jornada jugada</t>
  </si>
  <si>
    <t xml:space="preserve">—</t>
  </si>
  <si>
    <t xml:space="preserve">Valle de Ángeles</t>
  </si>
  <si>
    <t xml:space="preserve">C.D. Nacional</t>
  </si>
  <si>
    <t xml:space="preserve">Guerreros Lenca</t>
  </si>
  <si>
    <t xml:space="preserve">Ciclón Azul</t>
  </si>
  <si>
    <t xml:space="preserve">Francisco Morazán</t>
  </si>
  <si>
    <t xml:space="preserve">Independiente</t>
  </si>
  <si>
    <t xml:space="preserve">Motagua</t>
  </si>
  <si>
    <t xml:space="preserve">Golden Boys</t>
  </si>
  <si>
    <t xml:space="preserve">Integral St. Lucía</t>
  </si>
  <si>
    <t xml:space="preserve">Centro América</t>
  </si>
  <si>
    <t xml:space="preserve">Panamericano</t>
  </si>
  <si>
    <t xml:space="preserve">Atlético St. Lucía</t>
  </si>
  <si>
    <t xml:space="preserve">Osos</t>
  </si>
  <si>
    <t xml:space="preserve">Real Tegus</t>
  </si>
  <si>
    <t xml:space="preserve">JORNADA 2</t>
  </si>
  <si>
    <t xml:space="preserve">REPROGRAMACIÓN</t>
  </si>
  <si>
    <t xml:space="preserve">JORNADA 3</t>
  </si>
  <si>
    <t xml:space="preserve">15-oct-2026</t>
  </si>
  <si>
    <t xml:space="preserve">Jueves</t>
  </si>
  <si>
    <t xml:space="preserve">6:30 p. m.</t>
  </si>
  <si>
    <t xml:space="preserve">Estrella</t>
  </si>
  <si>
    <t xml:space="preserve">8:30 p. m.</t>
  </si>
  <si>
    <t xml:space="preserve">17-oct-2026</t>
  </si>
  <si>
    <t xml:space="preserve">Sábado</t>
  </si>
  <si>
    <t xml:space="preserve">12:45 p. m.</t>
  </si>
  <si>
    <t xml:space="preserve">2:45 p. m.</t>
  </si>
  <si>
    <t xml:space="preserve">12:30 p. m.</t>
  </si>
  <si>
    <t xml:space="preserve">Kennedy</t>
  </si>
  <si>
    <t xml:space="preserve">2:30 p. m.</t>
  </si>
  <si>
    <t xml:space="preserve">4:30 p. m.</t>
  </si>
  <si>
    <t xml:space="preserve">JORNADA 4</t>
  </si>
  <si>
    <t xml:space="preserve">22-oct-2026</t>
  </si>
  <si>
    <t xml:space="preserve">24-oct-2026</t>
  </si>
  <si>
    <t xml:space="preserve">JORNADA 5</t>
  </si>
  <si>
    <t xml:space="preserve">29-oct-2026</t>
  </si>
  <si>
    <t xml:space="preserve">31-oct-2026</t>
  </si>
  <si>
    <t xml:space="preserve">JORNADA 6</t>
  </si>
  <si>
    <t xml:space="preserve">05-nov-2026</t>
  </si>
  <si>
    <t xml:space="preserve">07-nov-2026</t>
  </si>
  <si>
    <t xml:space="preserve">JORNADA 7</t>
  </si>
  <si>
    <t xml:space="preserve">12-nov-2026</t>
  </si>
  <si>
    <t xml:space="preserve">14-nov-2026</t>
  </si>
  <si>
    <t xml:space="preserve">JORNADA 8</t>
  </si>
  <si>
    <t xml:space="preserve">19-nov-2026</t>
  </si>
  <si>
    <t xml:space="preserve">21-nov-2026</t>
  </si>
  <si>
    <t xml:space="preserve">JORNADA 9</t>
  </si>
  <si>
    <t xml:space="preserve">26-nov-2026</t>
  </si>
  <si>
    <t xml:space="preserve">28-nov-2026</t>
  </si>
  <si>
    <t xml:space="preserve">JORNADA 10</t>
  </si>
  <si>
    <t xml:space="preserve">03-dic-2026</t>
  </si>
  <si>
    <t xml:space="preserve">05-dic-2026</t>
  </si>
  <si>
    <t xml:space="preserve">JORNADA 11</t>
  </si>
  <si>
    <t xml:space="preserve">10-dic-2026</t>
  </si>
  <si>
    <t xml:space="preserve">12-dic-2026</t>
  </si>
  <si>
    <t xml:space="preserve">JORNADA 12</t>
  </si>
  <si>
    <t xml:space="preserve">17-dic-2026</t>
  </si>
  <si>
    <t xml:space="preserve">19-dic-2026</t>
  </si>
  <si>
    <t xml:space="preserve">JORNADA 13</t>
  </si>
  <si>
    <t xml:space="preserve">07-ene-2027</t>
  </si>
  <si>
    <t xml:space="preserve">09-ene-2027</t>
  </si>
  <si>
    <t xml:space="preserve">Se conservaron todos los partidos y su condición de local/visita (cada equipo juega 6 o 7 de local y 6 o 7 de visita). Se redistribuyeron las jornadas 3–13 entre sede y horario: cada equipo juega como máximo 2 veces en un mismo horario, cada franja tiene 11 partidos, y Valle de Ángeles, Integral St. Lucía y Atlético St. Lucía juegan exactamente 3 partidos en Kennedy: uno a las 12:30 p. m., uno a las 2:30 p. m. y uno a las 4:30 p. m.</t>
  </si>
  <si>
    <t xml:space="preserve">PARTIDOS POR EQUIPO, SEDE Y HORARIO — LIGA SANTA LUCÍA 2026–2027 (PROPUESTA CORREGIDA)</t>
  </si>
  <si>
    <t xml:space="preserve">Cuenta los partidos de cada equipo (como local o visita) según la propuesta de calendario, jornadas 3 a 13. Se actualiza solo si cambia el calendario.</t>
  </si>
  <si>
    <t xml:space="preserve">Equipo</t>
  </si>
  <si>
    <t xml:space="preserve">ESTRELLA</t>
  </si>
  <si>
    <t xml:space="preserve">KENNEDY</t>
  </si>
  <si>
    <t xml:space="preserve">RESUMEN</t>
  </si>
  <si>
    <t xml:space="preserve">Total Estrella</t>
  </si>
  <si>
    <t xml:space="preserve">Total Kennedy</t>
  </si>
  <si>
    <t xml:space="preserve">Total jueves</t>
  </si>
  <si>
    <t xml:space="preserve">Total sábado</t>
  </si>
  <si>
    <t xml:space="preserve">Total jornadas 3–13</t>
  </si>
  <si>
    <t xml:space="preserve">Jornadas 1–2 (sin sede)</t>
  </si>
  <si>
    <t xml:space="preserve">Total temporada</t>
  </si>
  <si>
    <t xml:space="preserve">TOTAL DE PARTIDOS</t>
  </si>
  <si>
    <t xml:space="preserve">Notas:</t>
  </si>
  <si>
    <t xml:space="preserve">Cada partido cuenta para los dos equipos; por eso la fila TOTAL divide entre 2 y muestra partidos reales por franja.</t>
  </si>
  <si>
    <t xml:space="preserve">Las jornadas 1 y 2 no tienen sede ni horario en el calendario (jugadas o en reprogramación); se muestran aparte.</t>
  </si>
  <si>
    <t xml:space="preserve">Jueves solo se juega en Estrella; Kennedy solo los sábados.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</si>
</sst>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9"/>
      <color rgb="FF595959"/>
      <name val="Calibri"/>
      <family val="0"/>
      <charset val="1"/>
    </font>
    <font>
      <sz val="9"/>
      <color rgb="FF595959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6324F"/>
        <bgColor rgb="FF1F3864"/>
      </patternFill>
    </fill>
    <fill>
      <patternFill patternType="solid">
        <fgColor rgb="FFF05A28"/>
        <bgColor rgb="FFFF8080"/>
      </patternFill>
    </fill>
    <fill>
      <patternFill patternType="solid">
        <fgColor rgb="FFF2F5F7"/>
        <bgColor rgb="FFFFFFFF"/>
      </patternFill>
    </fill>
    <fill>
      <patternFill patternType="solid">
        <fgColor rgb="FF1F3864"/>
        <bgColor rgb="FF16324F"/>
      </patternFill>
    </fill>
    <fill>
      <patternFill patternType="solid">
        <fgColor rgb="FF4472C4"/>
        <bgColor rgb="FF0066CC"/>
      </patternFill>
    </fill>
    <fill>
      <patternFill patternType="solid">
        <fgColor rgb="FFD9E1F2"/>
        <bgColor rgb="FFE7E6E6"/>
      </patternFill>
    </fill>
    <fill>
      <patternFill patternType="solid">
        <fgColor rgb="FFFCE4D6"/>
        <bgColor rgb="FFE7E6E6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6324F"/>
          <bgColor rgb="FF000000"/>
        </patternFill>
      </fill>
    </dxf>
    <dxf>
      <fill>
        <patternFill patternType="solid">
          <fgColor rgb="FFF05A28"/>
          <bgColor rgb="FF000000"/>
        </patternFill>
      </fill>
    </dxf>
    <dxf>
      <fill>
        <patternFill patternType="solid">
          <fgColor rgb="FFF2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7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05A28"/>
      <rgbColor rgb="FF59595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71" activePane="bottomLeft" state="frozen"/>
      <selection pane="topLeft" activeCell="A1" activeCellId="0" sqref="A1"/>
      <selection pane="bottomLeft" activeCell="I38" activeCellId="0" sqref="I3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7.33"/>
    <col collapsed="false" customWidth="true" hidden="false" outlineLevel="0" max="4" min="4" style="0" width="13"/>
    <col collapsed="false" customWidth="true" hidden="false" outlineLevel="0" max="6" min="5" style="0" width="25"/>
  </cols>
  <sheetData>
    <row r="1" customFormat="false" ht="18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.75" hidden="false" customHeight="true" outlineLevel="0" collapsed="false">
      <c r="A3" s="1" t="s">
        <v>7</v>
      </c>
      <c r="B3" s="1"/>
      <c r="C3" s="1"/>
      <c r="D3" s="1"/>
      <c r="E3" s="1"/>
      <c r="F3" s="1"/>
    </row>
    <row r="4" customFormat="false" ht="18.75" hidden="false" customHeight="true" outlineLevel="0" collapsed="false">
      <c r="A4" s="3" t="s">
        <v>8</v>
      </c>
      <c r="B4" s="3" t="s">
        <v>9</v>
      </c>
      <c r="C4" s="3" t="s">
        <v>9</v>
      </c>
      <c r="D4" s="3" t="s">
        <v>9</v>
      </c>
      <c r="E4" s="3" t="s">
        <v>10</v>
      </c>
      <c r="F4" s="3" t="s">
        <v>11</v>
      </c>
    </row>
    <row r="5" customFormat="false" ht="18.75" hidden="false" customHeight="true" outlineLevel="0" collapsed="false">
      <c r="A5" s="4" t="s">
        <v>8</v>
      </c>
      <c r="B5" s="4" t="s">
        <v>9</v>
      </c>
      <c r="C5" s="4" t="s">
        <v>9</v>
      </c>
      <c r="D5" s="4" t="s">
        <v>9</v>
      </c>
      <c r="E5" s="4" t="s">
        <v>12</v>
      </c>
      <c r="F5" s="4" t="s">
        <v>13</v>
      </c>
    </row>
    <row r="6" customFormat="false" ht="18.75" hidden="false" customHeight="true" outlineLevel="0" collapsed="false">
      <c r="A6" s="3" t="s">
        <v>8</v>
      </c>
      <c r="B6" s="3" t="s">
        <v>9</v>
      </c>
      <c r="C6" s="3" t="s">
        <v>9</v>
      </c>
      <c r="D6" s="3" t="s">
        <v>9</v>
      </c>
      <c r="E6" s="3" t="s">
        <v>14</v>
      </c>
      <c r="F6" s="3" t="s">
        <v>15</v>
      </c>
    </row>
    <row r="7" customFormat="false" ht="18.75" hidden="false" customHeight="true" outlineLevel="0" collapsed="false">
      <c r="A7" s="4" t="s">
        <v>8</v>
      </c>
      <c r="B7" s="4" t="s">
        <v>9</v>
      </c>
      <c r="C7" s="4" t="s">
        <v>9</v>
      </c>
      <c r="D7" s="4" t="s">
        <v>9</v>
      </c>
      <c r="E7" s="4" t="s">
        <v>16</v>
      </c>
      <c r="F7" s="4" t="s">
        <v>17</v>
      </c>
    </row>
    <row r="8" customFormat="false" ht="18.75" hidden="false" customHeight="true" outlineLevel="0" collapsed="false">
      <c r="A8" s="3" t="s">
        <v>8</v>
      </c>
      <c r="B8" s="3" t="s">
        <v>9</v>
      </c>
      <c r="C8" s="3" t="s">
        <v>9</v>
      </c>
      <c r="D8" s="3" t="s">
        <v>9</v>
      </c>
      <c r="E8" s="3" t="s">
        <v>18</v>
      </c>
      <c r="F8" s="3" t="s">
        <v>19</v>
      </c>
    </row>
    <row r="9" customFormat="false" ht="18.75" hidden="false" customHeight="true" outlineLevel="0" collapsed="false">
      <c r="A9" s="4" t="s">
        <v>8</v>
      </c>
      <c r="B9" s="4" t="s">
        <v>9</v>
      </c>
      <c r="C9" s="4" t="s">
        <v>9</v>
      </c>
      <c r="D9" s="4" t="s">
        <v>9</v>
      </c>
      <c r="E9" s="4" t="s">
        <v>20</v>
      </c>
      <c r="F9" s="4" t="s">
        <v>21</v>
      </c>
    </row>
    <row r="10" customFormat="false" ht="18.75" hidden="false" customHeight="true" outlineLevel="0" collapsed="false">
      <c r="A10" s="3" t="s">
        <v>8</v>
      </c>
      <c r="B10" s="3" t="s">
        <v>9</v>
      </c>
      <c r="C10" s="3" t="s">
        <v>9</v>
      </c>
      <c r="D10" s="3" t="s">
        <v>9</v>
      </c>
      <c r="E10" s="3" t="s">
        <v>22</v>
      </c>
      <c r="F10" s="3" t="s">
        <v>23</v>
      </c>
    </row>
    <row r="11" customFormat="false" ht="18.75" hidden="false" customHeight="true" outlineLevel="0" collapsed="false">
      <c r="A11" s="1" t="s">
        <v>24</v>
      </c>
      <c r="B11" s="1"/>
      <c r="C11" s="1"/>
      <c r="D11" s="1"/>
      <c r="E11" s="1"/>
      <c r="F11" s="1"/>
    </row>
    <row r="12" customFormat="false" ht="18.75" hidden="false" customHeight="true" outlineLevel="0" collapsed="false">
      <c r="A12" s="4" t="s">
        <v>8</v>
      </c>
      <c r="B12" s="4" t="s">
        <v>9</v>
      </c>
      <c r="C12" s="4" t="s">
        <v>9</v>
      </c>
      <c r="D12" s="4" t="s">
        <v>9</v>
      </c>
      <c r="E12" s="4" t="s">
        <v>11</v>
      </c>
      <c r="F12" s="4" t="s">
        <v>15</v>
      </c>
    </row>
    <row r="13" customFormat="false" ht="18.75" hidden="false" customHeight="true" outlineLevel="0" collapsed="false">
      <c r="A13" s="3" t="s">
        <v>8</v>
      </c>
      <c r="B13" s="3" t="s">
        <v>9</v>
      </c>
      <c r="C13" s="3" t="s">
        <v>9</v>
      </c>
      <c r="D13" s="3" t="s">
        <v>9</v>
      </c>
      <c r="E13" s="3" t="s">
        <v>10</v>
      </c>
      <c r="F13" s="3" t="s">
        <v>13</v>
      </c>
    </row>
    <row r="14" customFormat="false" ht="18.75" hidden="false" customHeight="true" outlineLevel="0" collapsed="false">
      <c r="A14" s="4" t="s">
        <v>8</v>
      </c>
      <c r="B14" s="4" t="s">
        <v>9</v>
      </c>
      <c r="C14" s="4" t="s">
        <v>9</v>
      </c>
      <c r="D14" s="4" t="s">
        <v>9</v>
      </c>
      <c r="E14" s="4" t="s">
        <v>12</v>
      </c>
      <c r="F14" s="4" t="s">
        <v>17</v>
      </c>
    </row>
    <row r="15" customFormat="false" ht="18.75" hidden="false" customHeight="true" outlineLevel="0" collapsed="false">
      <c r="A15" s="3" t="s">
        <v>8</v>
      </c>
      <c r="B15" s="3" t="s">
        <v>9</v>
      </c>
      <c r="C15" s="3" t="s">
        <v>9</v>
      </c>
      <c r="D15" s="3" t="s">
        <v>9</v>
      </c>
      <c r="E15" s="3" t="s">
        <v>14</v>
      </c>
      <c r="F15" s="3" t="s">
        <v>19</v>
      </c>
    </row>
    <row r="16" customFormat="false" ht="18.75" hidden="false" customHeight="true" outlineLevel="0" collapsed="false">
      <c r="A16" s="4" t="s">
        <v>8</v>
      </c>
      <c r="B16" s="4" t="s">
        <v>9</v>
      </c>
      <c r="C16" s="4" t="s">
        <v>25</v>
      </c>
      <c r="D16" s="4" t="s">
        <v>9</v>
      </c>
      <c r="E16" s="4" t="s">
        <v>16</v>
      </c>
      <c r="F16" s="4" t="s">
        <v>21</v>
      </c>
    </row>
    <row r="17" customFormat="false" ht="18.75" hidden="false" customHeight="true" outlineLevel="0" collapsed="false">
      <c r="A17" s="3" t="s">
        <v>8</v>
      </c>
      <c r="B17" s="3" t="s">
        <v>9</v>
      </c>
      <c r="C17" s="4" t="s">
        <v>25</v>
      </c>
      <c r="D17" s="3" t="s">
        <v>9</v>
      </c>
      <c r="E17" s="3" t="s">
        <v>18</v>
      </c>
      <c r="F17" s="3" t="s">
        <v>23</v>
      </c>
    </row>
    <row r="18" customFormat="false" ht="18.75" hidden="false" customHeight="true" outlineLevel="0" collapsed="false">
      <c r="A18" s="4" t="s">
        <v>8</v>
      </c>
      <c r="B18" s="4" t="s">
        <v>9</v>
      </c>
      <c r="C18" s="4" t="s">
        <v>25</v>
      </c>
      <c r="D18" s="4" t="s">
        <v>9</v>
      </c>
      <c r="E18" s="4" t="s">
        <v>20</v>
      </c>
      <c r="F18" s="4" t="s">
        <v>22</v>
      </c>
    </row>
    <row r="19" customFormat="false" ht="18.75" hidden="false" customHeight="true" outlineLevel="0" collapsed="false">
      <c r="A19" s="1" t="s">
        <v>26</v>
      </c>
      <c r="B19" s="1"/>
      <c r="C19" s="1"/>
      <c r="D19" s="1"/>
      <c r="E19" s="1"/>
      <c r="F19" s="1"/>
    </row>
    <row r="20" customFormat="false" ht="18.75" hidden="false" customHeight="true" outlineLevel="0" collapsed="false">
      <c r="A20" s="4" t="s">
        <v>27</v>
      </c>
      <c r="B20" s="4" t="s">
        <v>28</v>
      </c>
      <c r="C20" s="4" t="s">
        <v>29</v>
      </c>
      <c r="D20" s="3" t="s">
        <v>30</v>
      </c>
      <c r="E20" s="3" t="s">
        <v>10</v>
      </c>
      <c r="F20" s="3" t="s">
        <v>17</v>
      </c>
    </row>
    <row r="21" customFormat="false" ht="18.75" hidden="false" customHeight="true" outlineLevel="0" collapsed="false">
      <c r="A21" s="4" t="s">
        <v>27</v>
      </c>
      <c r="B21" s="4" t="s">
        <v>28</v>
      </c>
      <c r="C21" s="4" t="s">
        <v>31</v>
      </c>
      <c r="D21" s="4" t="s">
        <v>30</v>
      </c>
      <c r="E21" s="4" t="s">
        <v>18</v>
      </c>
      <c r="F21" s="4" t="s">
        <v>22</v>
      </c>
    </row>
    <row r="22" customFormat="false" ht="18.75" hidden="false" customHeight="true" outlineLevel="0" collapsed="false">
      <c r="A22" s="3" t="s">
        <v>32</v>
      </c>
      <c r="B22" s="3" t="s">
        <v>33</v>
      </c>
      <c r="C22" s="4" t="s">
        <v>34</v>
      </c>
      <c r="D22" s="3" t="s">
        <v>30</v>
      </c>
      <c r="E22" s="3" t="s">
        <v>12</v>
      </c>
      <c r="F22" s="3" t="s">
        <v>14</v>
      </c>
    </row>
    <row r="23" customFormat="false" ht="18.75" hidden="false" customHeight="true" outlineLevel="0" collapsed="false">
      <c r="A23" s="4" t="s">
        <v>32</v>
      </c>
      <c r="B23" s="4" t="s">
        <v>33</v>
      </c>
      <c r="C23" s="3" t="s">
        <v>35</v>
      </c>
      <c r="D23" s="4" t="s">
        <v>30</v>
      </c>
      <c r="E23" s="4" t="s">
        <v>23</v>
      </c>
      <c r="F23" s="4" t="s">
        <v>19</v>
      </c>
    </row>
    <row r="24" customFormat="false" ht="18.75" hidden="false" customHeight="true" outlineLevel="0" collapsed="false">
      <c r="A24" s="3" t="s">
        <v>32</v>
      </c>
      <c r="B24" s="3" t="s">
        <v>33</v>
      </c>
      <c r="C24" s="4" t="s">
        <v>36</v>
      </c>
      <c r="D24" s="3" t="s">
        <v>37</v>
      </c>
      <c r="E24" s="3" t="s">
        <v>21</v>
      </c>
      <c r="F24" s="3" t="s">
        <v>13</v>
      </c>
    </row>
    <row r="25" customFormat="false" ht="18.75" hidden="false" customHeight="true" outlineLevel="0" collapsed="false">
      <c r="A25" s="4" t="s">
        <v>32</v>
      </c>
      <c r="B25" s="4" t="s">
        <v>33</v>
      </c>
      <c r="C25" s="3" t="s">
        <v>38</v>
      </c>
      <c r="D25" s="3" t="s">
        <v>37</v>
      </c>
      <c r="E25" s="4" t="s">
        <v>15</v>
      </c>
      <c r="F25" s="4" t="s">
        <v>16</v>
      </c>
    </row>
    <row r="26" customFormat="false" ht="18.75" hidden="false" customHeight="true" outlineLevel="0" collapsed="false">
      <c r="A26" s="3" t="s">
        <v>32</v>
      </c>
      <c r="B26" s="4" t="s">
        <v>33</v>
      </c>
      <c r="C26" s="3" t="s">
        <v>39</v>
      </c>
      <c r="D26" s="3" t="s">
        <v>37</v>
      </c>
      <c r="E26" s="3" t="s">
        <v>11</v>
      </c>
      <c r="F26" s="3" t="s">
        <v>20</v>
      </c>
    </row>
    <row r="27" customFormat="false" ht="18.75" hidden="false" customHeight="true" outlineLevel="0" collapsed="false">
      <c r="A27" s="1" t="s">
        <v>40</v>
      </c>
      <c r="B27" s="1"/>
      <c r="C27" s="1"/>
      <c r="D27" s="1"/>
      <c r="E27" s="1"/>
      <c r="F27" s="1"/>
    </row>
    <row r="28" customFormat="false" ht="18.75" hidden="false" customHeight="true" outlineLevel="0" collapsed="false">
      <c r="A28" s="4" t="s">
        <v>41</v>
      </c>
      <c r="B28" s="4" t="s">
        <v>28</v>
      </c>
      <c r="C28" s="4" t="s">
        <v>29</v>
      </c>
      <c r="D28" s="3" t="s">
        <v>30</v>
      </c>
      <c r="E28" s="4" t="s">
        <v>21</v>
      </c>
      <c r="F28" s="4" t="s">
        <v>11</v>
      </c>
    </row>
    <row r="29" customFormat="false" ht="18.75" hidden="false" customHeight="true" outlineLevel="0" collapsed="false">
      <c r="A29" s="4" t="s">
        <v>41</v>
      </c>
      <c r="B29" s="4" t="s">
        <v>28</v>
      </c>
      <c r="C29" s="4" t="s">
        <v>31</v>
      </c>
      <c r="D29" s="4" t="s">
        <v>30</v>
      </c>
      <c r="E29" s="3" t="s">
        <v>20</v>
      </c>
      <c r="F29" s="3" t="s">
        <v>16</v>
      </c>
    </row>
    <row r="30" customFormat="false" ht="18.75" hidden="false" customHeight="true" outlineLevel="0" collapsed="false">
      <c r="A30" s="4" t="s">
        <v>42</v>
      </c>
      <c r="B30" s="3" t="s">
        <v>33</v>
      </c>
      <c r="C30" s="4" t="s">
        <v>34</v>
      </c>
      <c r="D30" s="3" t="s">
        <v>30</v>
      </c>
      <c r="E30" s="4" t="s">
        <v>18</v>
      </c>
      <c r="F30" s="4" t="s">
        <v>13</v>
      </c>
    </row>
    <row r="31" customFormat="false" ht="18.75" hidden="false" customHeight="true" outlineLevel="0" collapsed="false">
      <c r="A31" s="3" t="s">
        <v>42</v>
      </c>
      <c r="B31" s="4" t="s">
        <v>33</v>
      </c>
      <c r="C31" s="3" t="s">
        <v>35</v>
      </c>
      <c r="D31" s="4" t="s">
        <v>30</v>
      </c>
      <c r="E31" s="3" t="s">
        <v>14</v>
      </c>
      <c r="F31" s="3" t="s">
        <v>10</v>
      </c>
    </row>
    <row r="32" customFormat="false" ht="18.75" hidden="false" customHeight="true" outlineLevel="0" collapsed="false">
      <c r="A32" s="4" t="s">
        <v>42</v>
      </c>
      <c r="B32" s="3" t="s">
        <v>33</v>
      </c>
      <c r="C32" s="4" t="s">
        <v>36</v>
      </c>
      <c r="D32" s="3" t="s">
        <v>37</v>
      </c>
      <c r="E32" s="4" t="s">
        <v>12</v>
      </c>
      <c r="F32" s="4" t="s">
        <v>23</v>
      </c>
    </row>
    <row r="33" customFormat="false" ht="18.75" hidden="false" customHeight="true" outlineLevel="0" collapsed="false">
      <c r="A33" s="3" t="s">
        <v>42</v>
      </c>
      <c r="B33" s="4" t="s">
        <v>33</v>
      </c>
      <c r="C33" s="3" t="s">
        <v>38</v>
      </c>
      <c r="D33" s="3" t="s">
        <v>37</v>
      </c>
      <c r="E33" s="3" t="s">
        <v>19</v>
      </c>
      <c r="F33" s="3" t="s">
        <v>22</v>
      </c>
    </row>
    <row r="34" customFormat="false" ht="18.75" hidden="false" customHeight="true" outlineLevel="0" collapsed="false">
      <c r="A34" s="3" t="s">
        <v>42</v>
      </c>
      <c r="B34" s="4" t="s">
        <v>33</v>
      </c>
      <c r="C34" s="3" t="s">
        <v>39</v>
      </c>
      <c r="D34" s="3" t="s">
        <v>37</v>
      </c>
      <c r="E34" s="4" t="s">
        <v>17</v>
      </c>
      <c r="F34" s="4" t="s">
        <v>15</v>
      </c>
    </row>
    <row r="35" customFormat="false" ht="18.75" hidden="false" customHeight="true" outlineLevel="0" collapsed="false">
      <c r="A35" s="1" t="s">
        <v>43</v>
      </c>
      <c r="B35" s="1"/>
      <c r="C35" s="1"/>
      <c r="D35" s="1"/>
      <c r="E35" s="1"/>
      <c r="F35" s="1"/>
    </row>
    <row r="36" customFormat="false" ht="18.75" hidden="false" customHeight="true" outlineLevel="0" collapsed="false">
      <c r="A36" s="3" t="s">
        <v>44</v>
      </c>
      <c r="B36" s="4" t="s">
        <v>28</v>
      </c>
      <c r="C36" s="4" t="s">
        <v>29</v>
      </c>
      <c r="D36" s="3" t="s">
        <v>30</v>
      </c>
      <c r="E36" s="3" t="s">
        <v>13</v>
      </c>
      <c r="F36" s="3" t="s">
        <v>17</v>
      </c>
    </row>
    <row r="37" customFormat="false" ht="18.75" hidden="false" customHeight="true" outlineLevel="0" collapsed="false">
      <c r="A37" s="3" t="s">
        <v>44</v>
      </c>
      <c r="B37" s="4" t="s">
        <v>28</v>
      </c>
      <c r="C37" s="4" t="s">
        <v>31</v>
      </c>
      <c r="D37" s="4" t="s">
        <v>30</v>
      </c>
      <c r="E37" s="4" t="s">
        <v>10</v>
      </c>
      <c r="F37" s="4" t="s">
        <v>23</v>
      </c>
    </row>
    <row r="38" customFormat="false" ht="18.75" hidden="false" customHeight="true" outlineLevel="0" collapsed="false">
      <c r="A38" s="3" t="s">
        <v>45</v>
      </c>
      <c r="B38" s="3" t="s">
        <v>33</v>
      </c>
      <c r="C38" s="4" t="s">
        <v>34</v>
      </c>
      <c r="D38" s="3" t="s">
        <v>30</v>
      </c>
      <c r="E38" s="3" t="s">
        <v>21</v>
      </c>
      <c r="F38" s="3" t="s">
        <v>14</v>
      </c>
    </row>
    <row r="39" customFormat="false" ht="18.75" hidden="false" customHeight="true" outlineLevel="0" collapsed="false">
      <c r="A39" s="3" t="s">
        <v>45</v>
      </c>
      <c r="B39" s="4" t="s">
        <v>33</v>
      </c>
      <c r="C39" s="3" t="s">
        <v>35</v>
      </c>
      <c r="D39" s="4" t="s">
        <v>30</v>
      </c>
      <c r="E39" s="4" t="s">
        <v>20</v>
      </c>
      <c r="F39" s="4" t="s">
        <v>12</v>
      </c>
    </row>
    <row r="40" customFormat="false" ht="18.75" hidden="false" customHeight="true" outlineLevel="0" collapsed="false">
      <c r="A40" s="3" t="s">
        <v>45</v>
      </c>
      <c r="B40" s="3" t="s">
        <v>33</v>
      </c>
      <c r="C40" s="4" t="s">
        <v>36</v>
      </c>
      <c r="D40" s="3" t="s">
        <v>37</v>
      </c>
      <c r="E40" s="3" t="s">
        <v>22</v>
      </c>
      <c r="F40" s="3" t="s">
        <v>16</v>
      </c>
    </row>
    <row r="41" customFormat="false" ht="18.75" hidden="false" customHeight="true" outlineLevel="0" collapsed="false">
      <c r="A41" s="4" t="s">
        <v>45</v>
      </c>
      <c r="B41" s="4" t="s">
        <v>33</v>
      </c>
      <c r="C41" s="3" t="s">
        <v>38</v>
      </c>
      <c r="D41" s="3" t="s">
        <v>37</v>
      </c>
      <c r="E41" s="4" t="s">
        <v>15</v>
      </c>
      <c r="F41" s="4" t="s">
        <v>18</v>
      </c>
    </row>
    <row r="42" customFormat="false" ht="18.75" hidden="false" customHeight="true" outlineLevel="0" collapsed="false">
      <c r="A42" s="3" t="s">
        <v>45</v>
      </c>
      <c r="B42" s="4" t="s">
        <v>33</v>
      </c>
      <c r="C42" s="3" t="s">
        <v>39</v>
      </c>
      <c r="D42" s="3" t="s">
        <v>37</v>
      </c>
      <c r="E42" s="3" t="s">
        <v>11</v>
      </c>
      <c r="F42" s="3" t="s">
        <v>19</v>
      </c>
    </row>
    <row r="43" customFormat="false" ht="18.75" hidden="false" customHeight="true" outlineLevel="0" collapsed="false">
      <c r="A43" s="1" t="s">
        <v>46</v>
      </c>
      <c r="B43" s="1"/>
      <c r="C43" s="1"/>
      <c r="D43" s="1"/>
      <c r="E43" s="1"/>
      <c r="F43" s="1"/>
    </row>
    <row r="44" customFormat="false" ht="18.75" hidden="false" customHeight="true" outlineLevel="0" collapsed="false">
      <c r="A44" s="3" t="s">
        <v>47</v>
      </c>
      <c r="B44" s="4" t="s">
        <v>28</v>
      </c>
      <c r="C44" s="4" t="s">
        <v>29</v>
      </c>
      <c r="D44" s="3" t="s">
        <v>30</v>
      </c>
      <c r="E44" s="4" t="s">
        <v>16</v>
      </c>
      <c r="F44" s="4" t="s">
        <v>18</v>
      </c>
    </row>
    <row r="45" customFormat="false" ht="18.75" hidden="false" customHeight="true" outlineLevel="0" collapsed="false">
      <c r="A45" s="3" t="s">
        <v>47</v>
      </c>
      <c r="B45" s="4" t="s">
        <v>28</v>
      </c>
      <c r="C45" s="4" t="s">
        <v>31</v>
      </c>
      <c r="D45" s="4" t="s">
        <v>30</v>
      </c>
      <c r="E45" s="3" t="s">
        <v>11</v>
      </c>
      <c r="F45" s="3" t="s">
        <v>22</v>
      </c>
    </row>
    <row r="46" customFormat="false" ht="18.75" hidden="false" customHeight="true" outlineLevel="0" collapsed="false">
      <c r="A46" s="4" t="s">
        <v>48</v>
      </c>
      <c r="B46" s="3" t="s">
        <v>33</v>
      </c>
      <c r="C46" s="4" t="s">
        <v>34</v>
      </c>
      <c r="D46" s="3" t="s">
        <v>30</v>
      </c>
      <c r="E46" s="4" t="s">
        <v>17</v>
      </c>
      <c r="F46" s="4" t="s">
        <v>20</v>
      </c>
    </row>
    <row r="47" customFormat="false" ht="18.75" hidden="false" customHeight="true" outlineLevel="0" collapsed="false">
      <c r="A47" s="3" t="s">
        <v>48</v>
      </c>
      <c r="B47" s="4" t="s">
        <v>33</v>
      </c>
      <c r="C47" s="3" t="s">
        <v>35</v>
      </c>
      <c r="D47" s="4" t="s">
        <v>30</v>
      </c>
      <c r="E47" s="3" t="s">
        <v>21</v>
      </c>
      <c r="F47" s="3" t="s">
        <v>15</v>
      </c>
    </row>
    <row r="48" customFormat="false" ht="18.75" hidden="false" customHeight="true" outlineLevel="0" collapsed="false">
      <c r="A48" s="4" t="s">
        <v>48</v>
      </c>
      <c r="B48" s="3" t="s">
        <v>33</v>
      </c>
      <c r="C48" s="4" t="s">
        <v>36</v>
      </c>
      <c r="D48" s="3" t="s">
        <v>37</v>
      </c>
      <c r="E48" s="4" t="s">
        <v>10</v>
      </c>
      <c r="F48" s="4" t="s">
        <v>12</v>
      </c>
    </row>
    <row r="49" customFormat="false" ht="18.75" hidden="false" customHeight="true" outlineLevel="0" collapsed="false">
      <c r="A49" s="3" t="s">
        <v>48</v>
      </c>
      <c r="B49" s="4" t="s">
        <v>33</v>
      </c>
      <c r="C49" s="3" t="s">
        <v>38</v>
      </c>
      <c r="D49" s="3" t="s">
        <v>37</v>
      </c>
      <c r="E49" s="3" t="s">
        <v>23</v>
      </c>
      <c r="F49" s="3" t="s">
        <v>14</v>
      </c>
    </row>
    <row r="50" customFormat="false" ht="18.75" hidden="false" customHeight="true" outlineLevel="0" collapsed="false">
      <c r="A50" s="3" t="s">
        <v>48</v>
      </c>
      <c r="B50" s="4" t="s">
        <v>33</v>
      </c>
      <c r="C50" s="3" t="s">
        <v>39</v>
      </c>
      <c r="D50" s="3" t="s">
        <v>37</v>
      </c>
      <c r="E50" s="4" t="s">
        <v>13</v>
      </c>
      <c r="F50" s="4" t="s">
        <v>19</v>
      </c>
    </row>
    <row r="51" customFormat="false" ht="18.75" hidden="false" customHeight="true" outlineLevel="0" collapsed="false">
      <c r="A51" s="1" t="s">
        <v>49</v>
      </c>
      <c r="B51" s="1"/>
      <c r="C51" s="1"/>
      <c r="D51" s="1"/>
      <c r="E51" s="1"/>
      <c r="F51" s="1"/>
    </row>
    <row r="52" customFormat="false" ht="18.75" hidden="false" customHeight="true" outlineLevel="0" collapsed="false">
      <c r="A52" s="4" t="s">
        <v>50</v>
      </c>
      <c r="B52" s="4" t="s">
        <v>28</v>
      </c>
      <c r="C52" s="4" t="s">
        <v>29</v>
      </c>
      <c r="D52" s="3" t="s">
        <v>30</v>
      </c>
      <c r="E52" s="3" t="s">
        <v>15</v>
      </c>
      <c r="F52" s="3" t="s">
        <v>22</v>
      </c>
    </row>
    <row r="53" customFormat="false" ht="18.75" hidden="false" customHeight="true" outlineLevel="0" collapsed="false">
      <c r="A53" s="4" t="s">
        <v>50</v>
      </c>
      <c r="B53" s="4" t="s">
        <v>28</v>
      </c>
      <c r="C53" s="4" t="s">
        <v>31</v>
      </c>
      <c r="D53" s="4" t="s">
        <v>30</v>
      </c>
      <c r="E53" s="4" t="s">
        <v>21</v>
      </c>
      <c r="F53" s="4" t="s">
        <v>12</v>
      </c>
    </row>
    <row r="54" customFormat="false" ht="18.75" hidden="false" customHeight="true" outlineLevel="0" collapsed="false">
      <c r="A54" s="3" t="s">
        <v>51</v>
      </c>
      <c r="B54" s="3" t="s">
        <v>33</v>
      </c>
      <c r="C54" s="4" t="s">
        <v>34</v>
      </c>
      <c r="D54" s="3" t="s">
        <v>30</v>
      </c>
      <c r="E54" s="3" t="s">
        <v>19</v>
      </c>
      <c r="F54" s="3" t="s">
        <v>17</v>
      </c>
    </row>
    <row r="55" customFormat="false" ht="18.75" hidden="false" customHeight="true" outlineLevel="0" collapsed="false">
      <c r="A55" s="3" t="s">
        <v>51</v>
      </c>
      <c r="B55" s="4" t="s">
        <v>33</v>
      </c>
      <c r="C55" s="3" t="s">
        <v>35</v>
      </c>
      <c r="D55" s="4" t="s">
        <v>30</v>
      </c>
      <c r="E55" s="4" t="s">
        <v>18</v>
      </c>
      <c r="F55" s="4" t="s">
        <v>11</v>
      </c>
    </row>
    <row r="56" customFormat="false" ht="18.75" hidden="false" customHeight="true" outlineLevel="0" collapsed="false">
      <c r="A56" s="3" t="s">
        <v>51</v>
      </c>
      <c r="B56" s="3" t="s">
        <v>33</v>
      </c>
      <c r="C56" s="4" t="s">
        <v>36</v>
      </c>
      <c r="D56" s="3" t="s">
        <v>37</v>
      </c>
      <c r="E56" s="3" t="s">
        <v>13</v>
      </c>
      <c r="F56" s="3" t="s">
        <v>14</v>
      </c>
    </row>
    <row r="57" customFormat="false" ht="18.75" hidden="false" customHeight="true" outlineLevel="0" collapsed="false">
      <c r="A57" s="3" t="s">
        <v>51</v>
      </c>
      <c r="B57" s="4" t="s">
        <v>33</v>
      </c>
      <c r="C57" s="3" t="s">
        <v>38</v>
      </c>
      <c r="D57" s="3" t="s">
        <v>37</v>
      </c>
      <c r="E57" s="4" t="s">
        <v>23</v>
      </c>
      <c r="F57" s="4" t="s">
        <v>20</v>
      </c>
    </row>
    <row r="58" customFormat="false" ht="18.75" hidden="false" customHeight="true" outlineLevel="0" collapsed="false">
      <c r="A58" s="3" t="s">
        <v>51</v>
      </c>
      <c r="B58" s="4" t="s">
        <v>33</v>
      </c>
      <c r="C58" s="3" t="s">
        <v>39</v>
      </c>
      <c r="D58" s="3" t="s">
        <v>37</v>
      </c>
      <c r="E58" s="3" t="s">
        <v>16</v>
      </c>
      <c r="F58" s="3" t="s">
        <v>10</v>
      </c>
    </row>
    <row r="59" customFormat="false" ht="18.75" hidden="false" customHeight="true" outlineLevel="0" collapsed="false">
      <c r="A59" s="1" t="s">
        <v>52</v>
      </c>
      <c r="B59" s="1"/>
      <c r="C59" s="1"/>
      <c r="D59" s="1"/>
      <c r="E59" s="1"/>
      <c r="F59" s="1"/>
    </row>
    <row r="60" customFormat="false" ht="18.75" hidden="false" customHeight="true" outlineLevel="0" collapsed="false">
      <c r="A60" s="3" t="s">
        <v>53</v>
      </c>
      <c r="B60" s="4" t="s">
        <v>28</v>
      </c>
      <c r="C60" s="4" t="s">
        <v>29</v>
      </c>
      <c r="D60" s="3" t="s">
        <v>30</v>
      </c>
      <c r="E60" s="4" t="s">
        <v>14</v>
      </c>
      <c r="F60" s="4" t="s">
        <v>16</v>
      </c>
    </row>
    <row r="61" customFormat="false" ht="18.75" hidden="false" customHeight="true" outlineLevel="0" collapsed="false">
      <c r="A61" s="3" t="s">
        <v>53</v>
      </c>
      <c r="B61" s="4" t="s">
        <v>28</v>
      </c>
      <c r="C61" s="4" t="s">
        <v>31</v>
      </c>
      <c r="D61" s="4" t="s">
        <v>30</v>
      </c>
      <c r="E61" s="3" t="s">
        <v>20</v>
      </c>
      <c r="F61" s="3" t="s">
        <v>10</v>
      </c>
    </row>
    <row r="62" customFormat="false" ht="18.75" hidden="false" customHeight="true" outlineLevel="0" collapsed="false">
      <c r="A62" s="4" t="s">
        <v>54</v>
      </c>
      <c r="B62" s="3" t="s">
        <v>33</v>
      </c>
      <c r="C62" s="4" t="s">
        <v>34</v>
      </c>
      <c r="D62" s="3" t="s">
        <v>30</v>
      </c>
      <c r="E62" s="4" t="s">
        <v>13</v>
      </c>
      <c r="F62" s="4" t="s">
        <v>22</v>
      </c>
    </row>
    <row r="63" customFormat="false" ht="18.75" hidden="false" customHeight="true" outlineLevel="0" collapsed="false">
      <c r="A63" s="4" t="s">
        <v>54</v>
      </c>
      <c r="B63" s="4" t="s">
        <v>33</v>
      </c>
      <c r="C63" s="3" t="s">
        <v>35</v>
      </c>
      <c r="D63" s="4" t="s">
        <v>30</v>
      </c>
      <c r="E63" s="3" t="s">
        <v>19</v>
      </c>
      <c r="F63" s="3" t="s">
        <v>21</v>
      </c>
    </row>
    <row r="64" customFormat="false" ht="18.75" hidden="false" customHeight="true" outlineLevel="0" collapsed="false">
      <c r="A64" s="4" t="s">
        <v>54</v>
      </c>
      <c r="B64" s="3" t="s">
        <v>33</v>
      </c>
      <c r="C64" s="4" t="s">
        <v>36</v>
      </c>
      <c r="D64" s="3" t="s">
        <v>37</v>
      </c>
      <c r="E64" s="4" t="s">
        <v>15</v>
      </c>
      <c r="F64" s="4" t="s">
        <v>23</v>
      </c>
    </row>
    <row r="65" customFormat="false" ht="18.75" hidden="false" customHeight="true" outlineLevel="0" collapsed="false">
      <c r="A65" s="3" t="s">
        <v>54</v>
      </c>
      <c r="B65" s="4" t="s">
        <v>33</v>
      </c>
      <c r="C65" s="3" t="s">
        <v>38</v>
      </c>
      <c r="D65" s="3" t="s">
        <v>37</v>
      </c>
      <c r="E65" s="3" t="s">
        <v>17</v>
      </c>
      <c r="F65" s="3" t="s">
        <v>11</v>
      </c>
    </row>
    <row r="66" customFormat="false" ht="18.75" hidden="false" customHeight="true" outlineLevel="0" collapsed="false">
      <c r="A66" s="4" t="s">
        <v>54</v>
      </c>
      <c r="B66" s="4" t="s">
        <v>33</v>
      </c>
      <c r="C66" s="3" t="s">
        <v>39</v>
      </c>
      <c r="D66" s="3" t="s">
        <v>37</v>
      </c>
      <c r="E66" s="4" t="s">
        <v>12</v>
      </c>
      <c r="F66" s="4" t="s">
        <v>18</v>
      </c>
    </row>
    <row r="67" customFormat="false" ht="18.75" hidden="false" customHeight="true" outlineLevel="0" collapsed="false">
      <c r="A67" s="1" t="s">
        <v>55</v>
      </c>
      <c r="B67" s="1"/>
      <c r="C67" s="1"/>
      <c r="D67" s="1"/>
      <c r="E67" s="1"/>
      <c r="F67" s="1"/>
    </row>
    <row r="68" customFormat="false" ht="18.75" hidden="false" customHeight="true" outlineLevel="0" collapsed="false">
      <c r="A68" s="3" t="s">
        <v>56</v>
      </c>
      <c r="B68" s="4" t="s">
        <v>28</v>
      </c>
      <c r="C68" s="4" t="s">
        <v>29</v>
      </c>
      <c r="D68" s="3" t="s">
        <v>30</v>
      </c>
      <c r="E68" s="3" t="s">
        <v>10</v>
      </c>
      <c r="F68" s="3" t="s">
        <v>19</v>
      </c>
    </row>
    <row r="69" customFormat="false" ht="18.75" hidden="false" customHeight="true" outlineLevel="0" collapsed="false">
      <c r="A69" s="3" t="s">
        <v>56</v>
      </c>
      <c r="B69" s="4" t="s">
        <v>28</v>
      </c>
      <c r="C69" s="4" t="s">
        <v>31</v>
      </c>
      <c r="D69" s="4" t="s">
        <v>30</v>
      </c>
      <c r="E69" s="4" t="s">
        <v>13</v>
      </c>
      <c r="F69" s="4" t="s">
        <v>23</v>
      </c>
    </row>
    <row r="70" customFormat="false" ht="18.75" hidden="false" customHeight="true" outlineLevel="0" collapsed="false">
      <c r="A70" s="3" t="s">
        <v>57</v>
      </c>
      <c r="B70" s="3" t="s">
        <v>33</v>
      </c>
      <c r="C70" s="4" t="s">
        <v>34</v>
      </c>
      <c r="D70" s="3" t="s">
        <v>30</v>
      </c>
      <c r="E70" s="3" t="s">
        <v>21</v>
      </c>
      <c r="F70" s="3" t="s">
        <v>18</v>
      </c>
    </row>
    <row r="71" customFormat="false" ht="18.75" hidden="false" customHeight="true" outlineLevel="0" collapsed="false">
      <c r="A71" s="3" t="s">
        <v>57</v>
      </c>
      <c r="B71" s="4" t="s">
        <v>33</v>
      </c>
      <c r="C71" s="3" t="s">
        <v>35</v>
      </c>
      <c r="D71" s="4" t="s">
        <v>30</v>
      </c>
      <c r="E71" s="4" t="s">
        <v>11</v>
      </c>
      <c r="F71" s="4" t="s">
        <v>16</v>
      </c>
    </row>
    <row r="72" customFormat="false" ht="18.75" hidden="false" customHeight="true" outlineLevel="0" collapsed="false">
      <c r="A72" s="3" t="s">
        <v>57</v>
      </c>
      <c r="B72" s="3" t="s">
        <v>33</v>
      </c>
      <c r="C72" s="4" t="s">
        <v>36</v>
      </c>
      <c r="D72" s="3" t="s">
        <v>37</v>
      </c>
      <c r="E72" s="3" t="s">
        <v>20</v>
      </c>
      <c r="F72" s="3" t="s">
        <v>15</v>
      </c>
    </row>
    <row r="73" customFormat="false" ht="18.75" hidden="false" customHeight="true" outlineLevel="0" collapsed="false">
      <c r="A73" s="4" t="s">
        <v>57</v>
      </c>
      <c r="B73" s="4" t="s">
        <v>33</v>
      </c>
      <c r="C73" s="3" t="s">
        <v>38</v>
      </c>
      <c r="D73" s="3" t="s">
        <v>37</v>
      </c>
      <c r="E73" s="4" t="s">
        <v>12</v>
      </c>
      <c r="F73" s="4" t="s">
        <v>22</v>
      </c>
    </row>
    <row r="74" customFormat="false" ht="18.75" hidden="false" customHeight="true" outlineLevel="0" collapsed="false">
      <c r="A74" s="3" t="s">
        <v>57</v>
      </c>
      <c r="B74" s="4" t="s">
        <v>33</v>
      </c>
      <c r="C74" s="3" t="s">
        <v>39</v>
      </c>
      <c r="D74" s="3" t="s">
        <v>37</v>
      </c>
      <c r="E74" s="3" t="s">
        <v>17</v>
      </c>
      <c r="F74" s="3" t="s">
        <v>14</v>
      </c>
    </row>
    <row r="75" customFormat="false" ht="18.75" hidden="false" customHeight="true" outlineLevel="0" collapsed="false">
      <c r="A75" s="1" t="s">
        <v>58</v>
      </c>
      <c r="B75" s="1"/>
      <c r="C75" s="1"/>
      <c r="D75" s="1"/>
      <c r="E75" s="1"/>
      <c r="F75" s="1"/>
    </row>
    <row r="76" customFormat="false" ht="18.75" hidden="false" customHeight="true" outlineLevel="0" collapsed="false">
      <c r="A76" s="3" t="s">
        <v>59</v>
      </c>
      <c r="B76" s="4" t="s">
        <v>28</v>
      </c>
      <c r="C76" s="4" t="s">
        <v>29</v>
      </c>
      <c r="D76" s="3" t="s">
        <v>30</v>
      </c>
      <c r="E76" s="4" t="s">
        <v>19</v>
      </c>
      <c r="F76" s="4" t="s">
        <v>20</v>
      </c>
    </row>
    <row r="77" customFormat="false" ht="18.75" hidden="false" customHeight="true" outlineLevel="0" collapsed="false">
      <c r="A77" s="3" t="s">
        <v>59</v>
      </c>
      <c r="B77" s="4" t="s">
        <v>28</v>
      </c>
      <c r="C77" s="4" t="s">
        <v>31</v>
      </c>
      <c r="D77" s="4" t="s">
        <v>30</v>
      </c>
      <c r="E77" s="3" t="s">
        <v>16</v>
      </c>
      <c r="F77" s="3" t="s">
        <v>13</v>
      </c>
    </row>
    <row r="78" customFormat="false" ht="18.75" hidden="false" customHeight="true" outlineLevel="0" collapsed="false">
      <c r="A78" s="4" t="s">
        <v>60</v>
      </c>
      <c r="B78" s="3" t="s">
        <v>33</v>
      </c>
      <c r="C78" s="4" t="s">
        <v>34</v>
      </c>
      <c r="D78" s="3" t="s">
        <v>30</v>
      </c>
      <c r="E78" s="4" t="s">
        <v>23</v>
      </c>
      <c r="F78" s="4" t="s">
        <v>11</v>
      </c>
    </row>
    <row r="79" customFormat="false" ht="18.75" hidden="false" customHeight="true" outlineLevel="0" collapsed="false">
      <c r="A79" s="3" t="s">
        <v>60</v>
      </c>
      <c r="B79" s="4" t="s">
        <v>33</v>
      </c>
      <c r="C79" s="3" t="s">
        <v>35</v>
      </c>
      <c r="D79" s="4" t="s">
        <v>30</v>
      </c>
      <c r="E79" s="3" t="s">
        <v>22</v>
      </c>
      <c r="F79" s="3" t="s">
        <v>14</v>
      </c>
    </row>
    <row r="80" customFormat="false" ht="18.75" hidden="false" customHeight="true" outlineLevel="0" collapsed="false">
      <c r="A80" s="3" t="s">
        <v>60</v>
      </c>
      <c r="B80" s="3" t="s">
        <v>33</v>
      </c>
      <c r="C80" s="4" t="s">
        <v>36</v>
      </c>
      <c r="D80" s="3" t="s">
        <v>37</v>
      </c>
      <c r="E80" s="4" t="s">
        <v>17</v>
      </c>
      <c r="F80" s="4" t="s">
        <v>18</v>
      </c>
    </row>
    <row r="81" customFormat="false" ht="18.75" hidden="false" customHeight="true" outlineLevel="0" collapsed="false">
      <c r="A81" s="3" t="s">
        <v>60</v>
      </c>
      <c r="B81" s="4" t="s">
        <v>33</v>
      </c>
      <c r="C81" s="3" t="s">
        <v>38</v>
      </c>
      <c r="D81" s="3" t="s">
        <v>37</v>
      </c>
      <c r="E81" s="3" t="s">
        <v>10</v>
      </c>
      <c r="F81" s="3" t="s">
        <v>21</v>
      </c>
    </row>
    <row r="82" customFormat="false" ht="18.75" hidden="false" customHeight="true" outlineLevel="0" collapsed="false">
      <c r="A82" s="4" t="s">
        <v>60</v>
      </c>
      <c r="B82" s="4" t="s">
        <v>33</v>
      </c>
      <c r="C82" s="3" t="s">
        <v>39</v>
      </c>
      <c r="D82" s="3" t="s">
        <v>37</v>
      </c>
      <c r="E82" s="4" t="s">
        <v>12</v>
      </c>
      <c r="F82" s="4" t="s">
        <v>15</v>
      </c>
    </row>
    <row r="83" customFormat="false" ht="18.75" hidden="false" customHeight="true" outlineLevel="0" collapsed="false">
      <c r="A83" s="1" t="s">
        <v>61</v>
      </c>
      <c r="B83" s="1"/>
      <c r="C83" s="1"/>
      <c r="D83" s="1"/>
      <c r="E83" s="1"/>
      <c r="F83" s="1"/>
    </row>
    <row r="84" customFormat="false" ht="18.75" hidden="false" customHeight="true" outlineLevel="0" collapsed="false">
      <c r="A84" s="4" t="s">
        <v>62</v>
      </c>
      <c r="B84" s="4" t="s">
        <v>28</v>
      </c>
      <c r="C84" s="4" t="s">
        <v>29</v>
      </c>
      <c r="D84" s="3" t="s">
        <v>30</v>
      </c>
      <c r="E84" s="3" t="s">
        <v>11</v>
      </c>
      <c r="F84" s="3" t="s">
        <v>12</v>
      </c>
    </row>
    <row r="85" customFormat="false" ht="18.75" hidden="false" customHeight="true" outlineLevel="0" collapsed="false">
      <c r="A85" s="4" t="s">
        <v>62</v>
      </c>
      <c r="B85" s="4" t="s">
        <v>28</v>
      </c>
      <c r="C85" s="4" t="s">
        <v>31</v>
      </c>
      <c r="D85" s="4" t="s">
        <v>30</v>
      </c>
      <c r="E85" s="4" t="s">
        <v>14</v>
      </c>
      <c r="F85" s="4" t="s">
        <v>18</v>
      </c>
    </row>
    <row r="86" customFormat="false" ht="18.75" hidden="false" customHeight="true" outlineLevel="0" collapsed="false">
      <c r="A86" s="3" t="s">
        <v>63</v>
      </c>
      <c r="B86" s="3" t="s">
        <v>33</v>
      </c>
      <c r="C86" s="4" t="s">
        <v>34</v>
      </c>
      <c r="D86" s="3" t="s">
        <v>30</v>
      </c>
      <c r="E86" s="3" t="s">
        <v>15</v>
      </c>
      <c r="F86" s="3" t="s">
        <v>10</v>
      </c>
    </row>
    <row r="87" customFormat="false" ht="18.75" hidden="false" customHeight="true" outlineLevel="0" collapsed="false">
      <c r="A87" s="3" t="s">
        <v>63</v>
      </c>
      <c r="B87" s="4" t="s">
        <v>33</v>
      </c>
      <c r="C87" s="3" t="s">
        <v>35</v>
      </c>
      <c r="D87" s="4" t="s">
        <v>30</v>
      </c>
      <c r="E87" s="4" t="s">
        <v>23</v>
      </c>
      <c r="F87" s="4" t="s">
        <v>17</v>
      </c>
    </row>
    <row r="88" customFormat="false" ht="18.75" hidden="false" customHeight="true" outlineLevel="0" collapsed="false">
      <c r="A88" s="3" t="s">
        <v>63</v>
      </c>
      <c r="B88" s="3" t="s">
        <v>33</v>
      </c>
      <c r="C88" s="4" t="s">
        <v>36</v>
      </c>
      <c r="D88" s="3" t="s">
        <v>37</v>
      </c>
      <c r="E88" s="3" t="s">
        <v>16</v>
      </c>
      <c r="F88" s="3" t="s">
        <v>19</v>
      </c>
    </row>
    <row r="89" customFormat="false" ht="18.75" hidden="false" customHeight="true" outlineLevel="0" collapsed="false">
      <c r="A89" s="4" t="s">
        <v>63</v>
      </c>
      <c r="B89" s="4" t="s">
        <v>33</v>
      </c>
      <c r="C89" s="3" t="s">
        <v>38</v>
      </c>
      <c r="D89" s="3" t="s">
        <v>37</v>
      </c>
      <c r="E89" s="4" t="s">
        <v>13</v>
      </c>
      <c r="F89" s="4" t="s">
        <v>20</v>
      </c>
    </row>
    <row r="90" customFormat="false" ht="18.75" hidden="false" customHeight="true" outlineLevel="0" collapsed="false">
      <c r="A90" s="3" t="s">
        <v>63</v>
      </c>
      <c r="B90" s="4" t="s">
        <v>33</v>
      </c>
      <c r="C90" s="3" t="s">
        <v>39</v>
      </c>
      <c r="D90" s="3" t="s">
        <v>37</v>
      </c>
      <c r="E90" s="3" t="s">
        <v>22</v>
      </c>
      <c r="F90" s="3" t="s">
        <v>21</v>
      </c>
    </row>
    <row r="91" customFormat="false" ht="18.75" hidden="false" customHeight="true" outlineLevel="0" collapsed="false">
      <c r="A91" s="1" t="s">
        <v>64</v>
      </c>
      <c r="B91" s="1"/>
      <c r="C91" s="1"/>
      <c r="D91" s="1"/>
      <c r="E91" s="1"/>
      <c r="F91" s="1"/>
    </row>
    <row r="92" customFormat="false" ht="18.75" hidden="false" customHeight="true" outlineLevel="0" collapsed="false">
      <c r="A92" s="4" t="s">
        <v>65</v>
      </c>
      <c r="B92" s="4" t="s">
        <v>28</v>
      </c>
      <c r="C92" s="4" t="s">
        <v>29</v>
      </c>
      <c r="D92" s="3" t="s">
        <v>30</v>
      </c>
      <c r="E92" s="4" t="s">
        <v>21</v>
      </c>
      <c r="F92" s="4" t="s">
        <v>23</v>
      </c>
    </row>
    <row r="93" customFormat="false" ht="18.75" hidden="false" customHeight="true" outlineLevel="0" collapsed="false">
      <c r="A93" s="4" t="s">
        <v>65</v>
      </c>
      <c r="B93" s="4" t="s">
        <v>28</v>
      </c>
      <c r="C93" s="4" t="s">
        <v>31</v>
      </c>
      <c r="D93" s="4" t="s">
        <v>30</v>
      </c>
      <c r="E93" s="3" t="s">
        <v>19</v>
      </c>
      <c r="F93" s="3" t="s">
        <v>15</v>
      </c>
    </row>
    <row r="94" customFormat="false" ht="18.75" hidden="false" customHeight="true" outlineLevel="0" collapsed="false">
      <c r="A94" s="3" t="s">
        <v>66</v>
      </c>
      <c r="B94" s="3" t="s">
        <v>33</v>
      </c>
      <c r="C94" s="4" t="s">
        <v>34</v>
      </c>
      <c r="D94" s="3" t="s">
        <v>30</v>
      </c>
      <c r="E94" s="4" t="s">
        <v>16</v>
      </c>
      <c r="F94" s="4" t="s">
        <v>12</v>
      </c>
    </row>
    <row r="95" customFormat="false" ht="18.75" hidden="false" customHeight="true" outlineLevel="0" collapsed="false">
      <c r="A95" s="3" t="s">
        <v>66</v>
      </c>
      <c r="B95" s="4" t="s">
        <v>33</v>
      </c>
      <c r="C95" s="3" t="s">
        <v>35</v>
      </c>
      <c r="D95" s="4" t="s">
        <v>30</v>
      </c>
      <c r="E95" s="3" t="s">
        <v>18</v>
      </c>
      <c r="F95" s="3" t="s">
        <v>10</v>
      </c>
    </row>
    <row r="96" customFormat="false" ht="18.75" hidden="false" customHeight="true" outlineLevel="0" collapsed="false">
      <c r="A96" s="3" t="s">
        <v>66</v>
      </c>
      <c r="B96" s="3" t="s">
        <v>33</v>
      </c>
      <c r="C96" s="4" t="s">
        <v>36</v>
      </c>
      <c r="D96" s="3" t="s">
        <v>37</v>
      </c>
      <c r="E96" s="4" t="s">
        <v>22</v>
      </c>
      <c r="F96" s="4" t="s">
        <v>17</v>
      </c>
    </row>
    <row r="97" customFormat="false" ht="18.75" hidden="false" customHeight="true" outlineLevel="0" collapsed="false">
      <c r="A97" s="3" t="s">
        <v>66</v>
      </c>
      <c r="B97" s="4" t="s">
        <v>33</v>
      </c>
      <c r="C97" s="3" t="s">
        <v>38</v>
      </c>
      <c r="D97" s="3" t="s">
        <v>37</v>
      </c>
      <c r="E97" s="3" t="s">
        <v>11</v>
      </c>
      <c r="F97" s="3" t="s">
        <v>13</v>
      </c>
    </row>
    <row r="98" customFormat="false" ht="18.75" hidden="false" customHeight="true" outlineLevel="0" collapsed="false">
      <c r="A98" s="4" t="s">
        <v>66</v>
      </c>
      <c r="B98" s="4" t="s">
        <v>33</v>
      </c>
      <c r="C98" s="3" t="s">
        <v>39</v>
      </c>
      <c r="D98" s="3" t="s">
        <v>37</v>
      </c>
      <c r="E98" s="4" t="s">
        <v>14</v>
      </c>
      <c r="F98" s="4" t="s">
        <v>20</v>
      </c>
    </row>
    <row r="99" customFormat="false" ht="18.75" hidden="false" customHeight="true" outlineLevel="0" collapsed="false">
      <c r="A99" s="1" t="s">
        <v>67</v>
      </c>
      <c r="B99" s="1"/>
      <c r="C99" s="1"/>
      <c r="D99" s="1"/>
      <c r="E99" s="1"/>
      <c r="F99" s="1"/>
    </row>
    <row r="100" customFormat="false" ht="18.75" hidden="false" customHeight="true" outlineLevel="0" collapsed="false">
      <c r="A100" s="3" t="s">
        <v>68</v>
      </c>
      <c r="B100" s="4" t="s">
        <v>28</v>
      </c>
      <c r="C100" s="4" t="s">
        <v>29</v>
      </c>
      <c r="D100" s="3" t="s">
        <v>30</v>
      </c>
      <c r="E100" s="3" t="s">
        <v>20</v>
      </c>
      <c r="F100" s="3" t="s">
        <v>18</v>
      </c>
    </row>
    <row r="101" customFormat="false" ht="18.75" hidden="false" customHeight="true" outlineLevel="0" collapsed="false">
      <c r="A101" s="3" t="s">
        <v>68</v>
      </c>
      <c r="B101" s="4" t="s">
        <v>28</v>
      </c>
      <c r="C101" s="4" t="s">
        <v>31</v>
      </c>
      <c r="D101" s="4" t="s">
        <v>30</v>
      </c>
      <c r="E101" s="4" t="s">
        <v>17</v>
      </c>
      <c r="F101" s="4" t="s">
        <v>21</v>
      </c>
    </row>
    <row r="102" customFormat="false" ht="18.75" hidden="false" customHeight="true" outlineLevel="0" collapsed="false">
      <c r="A102" s="3" t="s">
        <v>69</v>
      </c>
      <c r="B102" s="3" t="s">
        <v>33</v>
      </c>
      <c r="C102" s="4" t="s">
        <v>34</v>
      </c>
      <c r="D102" s="3" t="s">
        <v>30</v>
      </c>
      <c r="E102" s="3" t="s">
        <v>22</v>
      </c>
      <c r="F102" s="3" t="s">
        <v>10</v>
      </c>
    </row>
    <row r="103" customFormat="false" ht="18.75" hidden="false" customHeight="true" outlineLevel="0" collapsed="false">
      <c r="A103" s="3" t="s">
        <v>69</v>
      </c>
      <c r="B103" s="4" t="s">
        <v>33</v>
      </c>
      <c r="C103" s="3" t="s">
        <v>35</v>
      </c>
      <c r="D103" s="4" t="s">
        <v>30</v>
      </c>
      <c r="E103" s="4" t="s">
        <v>15</v>
      </c>
      <c r="F103" s="4" t="s">
        <v>13</v>
      </c>
    </row>
    <row r="104" customFormat="false" ht="18.75" hidden="false" customHeight="true" outlineLevel="0" collapsed="false">
      <c r="A104" s="3" t="s">
        <v>69</v>
      </c>
      <c r="B104" s="3" t="s">
        <v>33</v>
      </c>
      <c r="C104" s="4" t="s">
        <v>36</v>
      </c>
      <c r="D104" s="3" t="s">
        <v>37</v>
      </c>
      <c r="E104" s="3" t="s">
        <v>14</v>
      </c>
      <c r="F104" s="3" t="s">
        <v>11</v>
      </c>
    </row>
    <row r="105" customFormat="false" ht="18.75" hidden="false" customHeight="true" outlineLevel="0" collapsed="false">
      <c r="A105" s="3" t="s">
        <v>69</v>
      </c>
      <c r="B105" s="4" t="s">
        <v>33</v>
      </c>
      <c r="C105" s="3" t="s">
        <v>38</v>
      </c>
      <c r="D105" s="3" t="s">
        <v>37</v>
      </c>
      <c r="E105" s="4" t="s">
        <v>19</v>
      </c>
      <c r="F105" s="4" t="s">
        <v>12</v>
      </c>
    </row>
    <row r="106" customFormat="false" ht="18.75" hidden="false" customHeight="true" outlineLevel="0" collapsed="false">
      <c r="A106" s="3" t="s">
        <v>69</v>
      </c>
      <c r="B106" s="4" t="s">
        <v>33</v>
      </c>
      <c r="C106" s="3" t="s">
        <v>39</v>
      </c>
      <c r="D106" s="3" t="s">
        <v>37</v>
      </c>
      <c r="E106" s="3" t="s">
        <v>23</v>
      </c>
      <c r="F106" s="3" t="s">
        <v>16</v>
      </c>
    </row>
    <row r="108" customFormat="false" ht="48" hidden="false" customHeight="true" outlineLevel="0" collapsed="false">
      <c r="A108" s="5" t="s">
        <v>70</v>
      </c>
      <c r="B108" s="5"/>
      <c r="C108" s="5"/>
      <c r="D108" s="5"/>
      <c r="E108" s="5"/>
      <c r="F108" s="5"/>
    </row>
  </sheetData>
  <autoFilter ref="A2:F106"/>
  <mergeCells count="15">
    <mergeCell ref="A1:F1"/>
    <mergeCell ref="A3:F3"/>
    <mergeCell ref="A11:F11"/>
    <mergeCell ref="A19:F19"/>
    <mergeCell ref="A27:F27"/>
    <mergeCell ref="A35:F35"/>
    <mergeCell ref="A43:F43"/>
    <mergeCell ref="A51:F51"/>
    <mergeCell ref="A59:F59"/>
    <mergeCell ref="A67:F67"/>
    <mergeCell ref="A75:F75"/>
    <mergeCell ref="A83:F83"/>
    <mergeCell ref="A91:F91"/>
    <mergeCell ref="A99:F99"/>
    <mergeCell ref="A108:F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2"/>
    <col collapsed="false" customWidth="true" hidden="false" outlineLevel="0" max="15" min="13" style="0" width="14"/>
    <col collapsed="false" customWidth="true" hidden="false" outlineLevel="0" max="17" min="16" style="0" width="12"/>
  </cols>
  <sheetData>
    <row r="1" customFormat="false" ht="17.35" hidden="false" customHeight="false" outlineLevel="0" collapsed="false">
      <c r="A1" s="6" t="s">
        <v>71</v>
      </c>
    </row>
    <row r="2" customFormat="false" ht="15" hidden="false" customHeight="false" outlineLevel="0" collapsed="false">
      <c r="A2" s="7" t="s">
        <v>72</v>
      </c>
    </row>
    <row r="4" customFormat="false" ht="15" hidden="false" customHeight="true" outlineLevel="0" collapsed="false">
      <c r="A4" s="8" t="s">
        <v>73</v>
      </c>
      <c r="B4" s="9" t="s">
        <v>74</v>
      </c>
      <c r="C4" s="9"/>
      <c r="D4" s="9"/>
      <c r="E4" s="9"/>
      <c r="F4" s="9"/>
      <c r="G4" s="10" t="s">
        <v>75</v>
      </c>
      <c r="H4" s="10"/>
      <c r="I4" s="10"/>
      <c r="J4" s="10"/>
      <c r="K4" s="8" t="s">
        <v>76</v>
      </c>
      <c r="L4" s="8"/>
      <c r="M4" s="8"/>
      <c r="N4" s="8"/>
      <c r="O4" s="8"/>
      <c r="P4" s="8"/>
      <c r="Q4" s="8"/>
    </row>
    <row r="5" customFormat="false" ht="15" hidden="false" customHeight="true" outlineLevel="0" collapsed="false">
      <c r="A5" s="8"/>
      <c r="B5" s="9" t="s">
        <v>28</v>
      </c>
      <c r="C5" s="9" t="s">
        <v>28</v>
      </c>
      <c r="D5" s="9" t="s">
        <v>33</v>
      </c>
      <c r="E5" s="9" t="s">
        <v>33</v>
      </c>
      <c r="F5" s="9" t="s">
        <v>77</v>
      </c>
      <c r="G5" s="10" t="s">
        <v>33</v>
      </c>
      <c r="H5" s="10" t="s">
        <v>33</v>
      </c>
      <c r="I5" s="10" t="s">
        <v>33</v>
      </c>
      <c r="J5" s="10" t="s">
        <v>78</v>
      </c>
      <c r="K5" s="8" t="s">
        <v>79</v>
      </c>
      <c r="L5" s="8" t="s">
        <v>80</v>
      </c>
      <c r="M5" s="8" t="s">
        <v>81</v>
      </c>
      <c r="N5" s="8" t="s">
        <v>82</v>
      </c>
      <c r="O5" s="8" t="s">
        <v>83</v>
      </c>
      <c r="P5" s="8" t="s">
        <v>5</v>
      </c>
      <c r="Q5" s="8" t="s">
        <v>6</v>
      </c>
    </row>
    <row r="6" customFormat="false" ht="30" hidden="false" customHeight="true" outlineLevel="0" collapsed="false">
      <c r="A6" s="8"/>
      <c r="B6" s="9" t="s">
        <v>29</v>
      </c>
      <c r="C6" s="9" t="s">
        <v>31</v>
      </c>
      <c r="D6" s="9" t="s">
        <v>34</v>
      </c>
      <c r="E6" s="9" t="s">
        <v>35</v>
      </c>
      <c r="F6" s="9"/>
      <c r="G6" s="10" t="s">
        <v>36</v>
      </c>
      <c r="H6" s="10" t="s">
        <v>38</v>
      </c>
      <c r="I6" s="10" t="s">
        <v>39</v>
      </c>
      <c r="J6" s="10"/>
      <c r="K6" s="8"/>
      <c r="L6" s="8"/>
      <c r="M6" s="8"/>
      <c r="N6" s="8"/>
      <c r="O6" s="8"/>
      <c r="P6" s="8"/>
      <c r="Q6" s="8"/>
    </row>
    <row r="7" customFormat="false" ht="15" hidden="false" customHeight="false" outlineLevel="0" collapsed="false">
      <c r="A7" s="11" t="s">
        <v>21</v>
      </c>
      <c r="B7" s="12" t="n">
        <f aca="false">COUNTIFS('Calendario '!$D$3:$D$107,"Estrella",'Calendario '!$B$3:$B$107,B$5,'Calendario '!$C$3:$C$107,B$6,'Calendario '!$E$3:$E$107,$A7)+COUNTIFS('Calendario '!$D$3:$D$107,"Estrella",'Calendario '!$B$3:$B$107,B$5,'Calendario '!$C$3:$C$107,B$6,'Calendario '!$F$3:$F$107,$A7)</f>
        <v>2</v>
      </c>
      <c r="C7" s="12" t="n">
        <f aca="false">COUNTIFS('Calendario '!$D$3:$D$107,"Estrella",'Calendario '!$B$3:$B$107,C$5,'Calendario '!$C$3:$C$107,C$6,'Calendario '!$E$3:$E$107,$A7)+COUNTIFS('Calendario '!$D$3:$D$107,"Estrella",'Calendario '!$B$3:$B$107,C$5,'Calendario '!$C$3:$C$107,C$6,'Calendario '!$F$3:$F$107,$A7)</f>
        <v>2</v>
      </c>
      <c r="D7" s="12" t="n">
        <f aca="false">COUNTIFS('Calendario '!$D$3:$D$107,"Estrella",'Calendario '!$B$3:$B$107,D$5,'Calendario '!$C$3:$C$107,D$6,'Calendario '!$E$3:$E$107,$A7)+COUNTIFS('Calendario '!$D$3:$D$107,"Estrella",'Calendario '!$B$3:$B$107,D$5,'Calendario '!$C$3:$C$107,D$6,'Calendario '!$F$3:$F$107,$A7)</f>
        <v>2</v>
      </c>
      <c r="E7" s="12" t="n">
        <f aca="false">COUNTIFS('Calendario '!$D$3:$D$107,"Estrella",'Calendario '!$B$3:$B$107,E$5,'Calendario '!$C$3:$C$107,E$6,'Calendario '!$E$3:$E$107,$A7)+COUNTIFS('Calendario '!$D$3:$D$107,"Estrella",'Calendario '!$B$3:$B$107,E$5,'Calendario '!$C$3:$C$107,E$6,'Calendario '!$F$3:$F$107,$A7)</f>
        <v>2</v>
      </c>
      <c r="F7" s="13" t="n">
        <f aca="false">SUM(B7:E7)</f>
        <v>8</v>
      </c>
      <c r="G7" s="12" t="n">
        <f aca="false">COUNTIFS('Calendario '!$D$3:$D$107,"Kennedy",'Calendario '!$B$3:$B$107,G$5,'Calendario '!$C$3:$C$107,G$6,'Calendario '!$E$3:$E$107,$A7)+COUNTIFS('Calendario '!$D$3:$D$107,"Kennedy",'Calendario '!$B$3:$B$107,G$5,'Calendario '!$C$3:$C$107,G$6,'Calendario '!$F$3:$F$107,$A7)</f>
        <v>1</v>
      </c>
      <c r="H7" s="12" t="n">
        <f aca="false">COUNTIFS('Calendario '!$D$3:$D$107,"Kennedy",'Calendario '!$B$3:$B$107,H$5,'Calendario '!$C$3:$C$107,H$6,'Calendario '!$E$3:$E$107,$A7)+COUNTIFS('Calendario '!$D$3:$D$107,"Kennedy",'Calendario '!$B$3:$B$107,H$5,'Calendario '!$C$3:$C$107,H$6,'Calendario '!$F$3:$F$107,$A7)</f>
        <v>1</v>
      </c>
      <c r="I7" s="12" t="n">
        <f aca="false">COUNTIFS('Calendario '!$D$3:$D$107,"Kennedy",'Calendario '!$B$3:$B$107,I$5,'Calendario '!$C$3:$C$107,I$6,'Calendario '!$E$3:$E$107,$A7)+COUNTIFS('Calendario '!$D$3:$D$107,"Kennedy",'Calendario '!$B$3:$B$107,I$5,'Calendario '!$C$3:$C$107,I$6,'Calendario '!$F$3:$F$107,$A7)</f>
        <v>1</v>
      </c>
      <c r="J7" s="14" t="n">
        <f aca="false">SUM(G7:I7)</f>
        <v>3</v>
      </c>
      <c r="K7" s="12" t="n">
        <f aca="false">SUMIF($B$5:$I$5,"Jueves",B7:I7)</f>
        <v>4</v>
      </c>
      <c r="L7" s="12" t="n">
        <f aca="false">SUMIF($B$5:$I$5,"Sábado",B7:I7)</f>
        <v>7</v>
      </c>
      <c r="M7" s="15" t="n">
        <f aca="false">F7+J7</f>
        <v>11</v>
      </c>
      <c r="N7" s="12" t="n">
        <f aca="false">COUNTIFS('Calendario '!$A$3:$A$107,"Jornada jugada",'Calendario '!$E$3:$E$107,$A7)+COUNTIFS('Calendario '!$A$3:$A$107,"Jornada jugada",'Calendario '!$F$3:$F$107,$A7)</f>
        <v>2</v>
      </c>
      <c r="O7" s="15" t="n">
        <f aca="false">M7+N7</f>
        <v>13</v>
      </c>
      <c r="P7" s="12" t="n">
        <f aca="false">COUNTIF('Calendario '!$E$3:$E$107,$A7)</f>
        <v>7</v>
      </c>
      <c r="Q7" s="12" t="n">
        <f aca="false">COUNTIF('Calendario '!$F$3:$F$107,$A7)</f>
        <v>6</v>
      </c>
    </row>
    <row r="8" customFormat="false" ht="15" hidden="false" customHeight="false" outlineLevel="0" collapsed="false">
      <c r="A8" s="11" t="s">
        <v>11</v>
      </c>
      <c r="B8" s="12" t="n">
        <f aca="false">COUNTIFS('Calendario '!$D$3:$D$107,"Estrella",'Calendario '!$B$3:$B$107,B$5,'Calendario '!$C$3:$C$107,B$6,'Calendario '!$E$3:$E$107,$A8)+COUNTIFS('Calendario '!$D$3:$D$107,"Estrella",'Calendario '!$B$3:$B$107,B$5,'Calendario '!$C$3:$C$107,B$6,'Calendario '!$F$3:$F$107,$A8)</f>
        <v>2</v>
      </c>
      <c r="C8" s="12" t="n">
        <f aca="false">COUNTIFS('Calendario '!$D$3:$D$107,"Estrella",'Calendario '!$B$3:$B$107,C$5,'Calendario '!$C$3:$C$107,C$6,'Calendario '!$E$3:$E$107,$A8)+COUNTIFS('Calendario '!$D$3:$D$107,"Estrella",'Calendario '!$B$3:$B$107,C$5,'Calendario '!$C$3:$C$107,C$6,'Calendario '!$F$3:$F$107,$A8)</f>
        <v>1</v>
      </c>
      <c r="D8" s="12" t="n">
        <f aca="false">COUNTIFS('Calendario '!$D$3:$D$107,"Estrella",'Calendario '!$B$3:$B$107,D$5,'Calendario '!$C$3:$C$107,D$6,'Calendario '!$E$3:$E$107,$A8)+COUNTIFS('Calendario '!$D$3:$D$107,"Estrella",'Calendario '!$B$3:$B$107,D$5,'Calendario '!$C$3:$C$107,D$6,'Calendario '!$F$3:$F$107,$A8)</f>
        <v>1</v>
      </c>
      <c r="E8" s="12" t="n">
        <f aca="false">COUNTIFS('Calendario '!$D$3:$D$107,"Estrella",'Calendario '!$B$3:$B$107,E$5,'Calendario '!$C$3:$C$107,E$6,'Calendario '!$E$3:$E$107,$A8)+COUNTIFS('Calendario '!$D$3:$D$107,"Estrella",'Calendario '!$B$3:$B$107,E$5,'Calendario '!$C$3:$C$107,E$6,'Calendario '!$F$3:$F$107,$A8)</f>
        <v>2</v>
      </c>
      <c r="F8" s="13" t="n">
        <f aca="false">SUM(B8:E8)</f>
        <v>6</v>
      </c>
      <c r="G8" s="12" t="n">
        <f aca="false">COUNTIFS('Calendario '!$D$3:$D$107,"Kennedy",'Calendario '!$B$3:$B$107,G$5,'Calendario '!$C$3:$C$107,G$6,'Calendario '!$E$3:$E$107,$A8)+COUNTIFS('Calendario '!$D$3:$D$107,"Kennedy",'Calendario '!$B$3:$B$107,G$5,'Calendario '!$C$3:$C$107,G$6,'Calendario '!$F$3:$F$107,$A8)</f>
        <v>1</v>
      </c>
      <c r="H8" s="12" t="n">
        <f aca="false">COUNTIFS('Calendario '!$D$3:$D$107,"Kennedy",'Calendario '!$B$3:$B$107,H$5,'Calendario '!$C$3:$C$107,H$6,'Calendario '!$E$3:$E$107,$A8)+COUNTIFS('Calendario '!$D$3:$D$107,"Kennedy",'Calendario '!$B$3:$B$107,H$5,'Calendario '!$C$3:$C$107,H$6,'Calendario '!$F$3:$F$107,$A8)</f>
        <v>2</v>
      </c>
      <c r="I8" s="12" t="n">
        <f aca="false">COUNTIFS('Calendario '!$D$3:$D$107,"Kennedy",'Calendario '!$B$3:$B$107,I$5,'Calendario '!$C$3:$C$107,I$6,'Calendario '!$E$3:$E$107,$A8)+COUNTIFS('Calendario '!$D$3:$D$107,"Kennedy",'Calendario '!$B$3:$B$107,I$5,'Calendario '!$C$3:$C$107,I$6,'Calendario '!$F$3:$F$107,$A8)</f>
        <v>2</v>
      </c>
      <c r="J8" s="14" t="n">
        <f aca="false">SUM(G8:I8)</f>
        <v>5</v>
      </c>
      <c r="K8" s="12" t="n">
        <f aca="false">SUMIF($B$5:$I$5,"Jueves",B8:I8)</f>
        <v>3</v>
      </c>
      <c r="L8" s="12" t="n">
        <f aca="false">SUMIF($B$5:$I$5,"Sábado",B8:I8)</f>
        <v>8</v>
      </c>
      <c r="M8" s="15" t="n">
        <f aca="false">F8+J8</f>
        <v>11</v>
      </c>
      <c r="N8" s="12" t="n">
        <f aca="false">COUNTIFS('Calendario '!$A$3:$A$107,"Jornada jugada",'Calendario '!$E$3:$E$107,$A8)+COUNTIFS('Calendario '!$A$3:$A$107,"Jornada jugada",'Calendario '!$F$3:$F$107,$A8)</f>
        <v>2</v>
      </c>
      <c r="O8" s="15" t="n">
        <f aca="false">M8+N8</f>
        <v>13</v>
      </c>
      <c r="P8" s="12" t="n">
        <f aca="false">COUNTIF('Calendario '!$E$3:$E$107,$A8)</f>
        <v>7</v>
      </c>
      <c r="Q8" s="12" t="n">
        <f aca="false">COUNTIF('Calendario '!$F$3:$F$107,$A8)</f>
        <v>6</v>
      </c>
    </row>
    <row r="9" customFormat="false" ht="15" hidden="false" customHeight="false" outlineLevel="0" collapsed="false">
      <c r="A9" s="11" t="s">
        <v>19</v>
      </c>
      <c r="B9" s="12" t="n">
        <f aca="false">COUNTIFS('Calendario '!$D$3:$D$107,"Estrella",'Calendario '!$B$3:$B$107,B$5,'Calendario '!$C$3:$C$107,B$6,'Calendario '!$E$3:$E$107,$A9)+COUNTIFS('Calendario '!$D$3:$D$107,"Estrella",'Calendario '!$B$3:$B$107,B$5,'Calendario '!$C$3:$C$107,B$6,'Calendario '!$F$3:$F$107,$A9)</f>
        <v>2</v>
      </c>
      <c r="C9" s="12" t="n">
        <f aca="false">COUNTIFS('Calendario '!$D$3:$D$107,"Estrella",'Calendario '!$B$3:$B$107,C$5,'Calendario '!$C$3:$C$107,C$6,'Calendario '!$E$3:$E$107,$A9)+COUNTIFS('Calendario '!$D$3:$D$107,"Estrella",'Calendario '!$B$3:$B$107,C$5,'Calendario '!$C$3:$C$107,C$6,'Calendario '!$F$3:$F$107,$A9)</f>
        <v>1</v>
      </c>
      <c r="D9" s="12" t="n">
        <f aca="false">COUNTIFS('Calendario '!$D$3:$D$107,"Estrella",'Calendario '!$B$3:$B$107,D$5,'Calendario '!$C$3:$C$107,D$6,'Calendario '!$E$3:$E$107,$A9)+COUNTIFS('Calendario '!$D$3:$D$107,"Estrella",'Calendario '!$B$3:$B$107,D$5,'Calendario '!$C$3:$C$107,D$6,'Calendario '!$F$3:$F$107,$A9)</f>
        <v>1</v>
      </c>
      <c r="E9" s="12" t="n">
        <f aca="false">COUNTIFS('Calendario '!$D$3:$D$107,"Estrella",'Calendario '!$B$3:$B$107,E$5,'Calendario '!$C$3:$C$107,E$6,'Calendario '!$E$3:$E$107,$A9)+COUNTIFS('Calendario '!$D$3:$D$107,"Estrella",'Calendario '!$B$3:$B$107,E$5,'Calendario '!$C$3:$C$107,E$6,'Calendario '!$F$3:$F$107,$A9)</f>
        <v>2</v>
      </c>
      <c r="F9" s="13" t="n">
        <f aca="false">SUM(B9:E9)</f>
        <v>6</v>
      </c>
      <c r="G9" s="12" t="n">
        <f aca="false">COUNTIFS('Calendario '!$D$3:$D$107,"Kennedy",'Calendario '!$B$3:$B$107,G$5,'Calendario '!$C$3:$C$107,G$6,'Calendario '!$E$3:$E$107,$A9)+COUNTIFS('Calendario '!$D$3:$D$107,"Kennedy",'Calendario '!$B$3:$B$107,G$5,'Calendario '!$C$3:$C$107,G$6,'Calendario '!$F$3:$F$107,$A9)</f>
        <v>1</v>
      </c>
      <c r="H9" s="12" t="n">
        <f aca="false">COUNTIFS('Calendario '!$D$3:$D$107,"Kennedy",'Calendario '!$B$3:$B$107,H$5,'Calendario '!$C$3:$C$107,H$6,'Calendario '!$E$3:$E$107,$A9)+COUNTIFS('Calendario '!$D$3:$D$107,"Kennedy",'Calendario '!$B$3:$B$107,H$5,'Calendario '!$C$3:$C$107,H$6,'Calendario '!$F$3:$F$107,$A9)</f>
        <v>2</v>
      </c>
      <c r="I9" s="12" t="n">
        <f aca="false">COUNTIFS('Calendario '!$D$3:$D$107,"Kennedy",'Calendario '!$B$3:$B$107,I$5,'Calendario '!$C$3:$C$107,I$6,'Calendario '!$E$3:$E$107,$A9)+COUNTIFS('Calendario '!$D$3:$D$107,"Kennedy",'Calendario '!$B$3:$B$107,I$5,'Calendario '!$C$3:$C$107,I$6,'Calendario '!$F$3:$F$107,$A9)</f>
        <v>2</v>
      </c>
      <c r="J9" s="14" t="n">
        <f aca="false">SUM(G9:I9)</f>
        <v>5</v>
      </c>
      <c r="K9" s="12" t="n">
        <f aca="false">SUMIF($B$5:$I$5,"Jueves",B9:I9)</f>
        <v>3</v>
      </c>
      <c r="L9" s="12" t="n">
        <f aca="false">SUMIF($B$5:$I$5,"Sábado",B9:I9)</f>
        <v>8</v>
      </c>
      <c r="M9" s="15" t="n">
        <f aca="false">F9+J9</f>
        <v>11</v>
      </c>
      <c r="N9" s="12" t="n">
        <f aca="false">COUNTIFS('Calendario '!$A$3:$A$107,"Jornada jugada",'Calendario '!$E$3:$E$107,$A9)+COUNTIFS('Calendario '!$A$3:$A$107,"Jornada jugada",'Calendario '!$F$3:$F$107,$A9)</f>
        <v>2</v>
      </c>
      <c r="O9" s="15" t="n">
        <f aca="false">M9+N9</f>
        <v>13</v>
      </c>
      <c r="P9" s="12" t="n">
        <f aca="false">COUNTIF('Calendario '!$E$3:$E$107,$A9)</f>
        <v>6</v>
      </c>
      <c r="Q9" s="12" t="n">
        <f aca="false">COUNTIF('Calendario '!$F$3:$F$107,$A9)</f>
        <v>7</v>
      </c>
    </row>
    <row r="10" customFormat="false" ht="15" hidden="false" customHeight="false" outlineLevel="0" collapsed="false">
      <c r="A10" s="11" t="s">
        <v>13</v>
      </c>
      <c r="B10" s="12" t="n">
        <f aca="false">COUNTIFS('Calendario '!$D$3:$D$107,"Estrella",'Calendario '!$B$3:$B$107,B$5,'Calendario '!$C$3:$C$107,B$6,'Calendario '!$E$3:$E$107,$A10)+COUNTIFS('Calendario '!$D$3:$D$107,"Estrella",'Calendario '!$B$3:$B$107,B$5,'Calendario '!$C$3:$C$107,B$6,'Calendario '!$F$3:$F$107,$A10)</f>
        <v>1</v>
      </c>
      <c r="C10" s="12" t="n">
        <f aca="false">COUNTIFS('Calendario '!$D$3:$D$107,"Estrella",'Calendario '!$B$3:$B$107,C$5,'Calendario '!$C$3:$C$107,C$6,'Calendario '!$E$3:$E$107,$A10)+COUNTIFS('Calendario '!$D$3:$D$107,"Estrella",'Calendario '!$B$3:$B$107,C$5,'Calendario '!$C$3:$C$107,C$6,'Calendario '!$F$3:$F$107,$A10)</f>
        <v>2</v>
      </c>
      <c r="D10" s="12" t="n">
        <f aca="false">COUNTIFS('Calendario '!$D$3:$D$107,"Estrella",'Calendario '!$B$3:$B$107,D$5,'Calendario '!$C$3:$C$107,D$6,'Calendario '!$E$3:$E$107,$A10)+COUNTIFS('Calendario '!$D$3:$D$107,"Estrella",'Calendario '!$B$3:$B$107,D$5,'Calendario '!$C$3:$C$107,D$6,'Calendario '!$F$3:$F$107,$A10)</f>
        <v>2</v>
      </c>
      <c r="E10" s="12" t="n">
        <f aca="false">COUNTIFS('Calendario '!$D$3:$D$107,"Estrella",'Calendario '!$B$3:$B$107,E$5,'Calendario '!$C$3:$C$107,E$6,'Calendario '!$E$3:$E$107,$A10)+COUNTIFS('Calendario '!$D$3:$D$107,"Estrella",'Calendario '!$B$3:$B$107,E$5,'Calendario '!$C$3:$C$107,E$6,'Calendario '!$F$3:$F$107,$A10)</f>
        <v>1</v>
      </c>
      <c r="F10" s="13" t="n">
        <f aca="false">SUM(B10:E10)</f>
        <v>6</v>
      </c>
      <c r="G10" s="12" t="n">
        <f aca="false">COUNTIFS('Calendario '!$D$3:$D$107,"Kennedy",'Calendario '!$B$3:$B$107,G$5,'Calendario '!$C$3:$C$107,G$6,'Calendario '!$E$3:$E$107,$A10)+COUNTIFS('Calendario '!$D$3:$D$107,"Kennedy",'Calendario '!$B$3:$B$107,G$5,'Calendario '!$C$3:$C$107,G$6,'Calendario '!$F$3:$F$107,$A10)</f>
        <v>2</v>
      </c>
      <c r="H10" s="12" t="n">
        <f aca="false">COUNTIFS('Calendario '!$D$3:$D$107,"Kennedy",'Calendario '!$B$3:$B$107,H$5,'Calendario '!$C$3:$C$107,H$6,'Calendario '!$E$3:$E$107,$A10)+COUNTIFS('Calendario '!$D$3:$D$107,"Kennedy",'Calendario '!$B$3:$B$107,H$5,'Calendario '!$C$3:$C$107,H$6,'Calendario '!$F$3:$F$107,$A10)</f>
        <v>2</v>
      </c>
      <c r="I10" s="12" t="n">
        <f aca="false">COUNTIFS('Calendario '!$D$3:$D$107,"Kennedy",'Calendario '!$B$3:$B$107,I$5,'Calendario '!$C$3:$C$107,I$6,'Calendario '!$E$3:$E$107,$A10)+COUNTIFS('Calendario '!$D$3:$D$107,"Kennedy",'Calendario '!$B$3:$B$107,I$5,'Calendario '!$C$3:$C$107,I$6,'Calendario '!$F$3:$F$107,$A10)</f>
        <v>1</v>
      </c>
      <c r="J10" s="14" t="n">
        <f aca="false">SUM(G10:I10)</f>
        <v>5</v>
      </c>
      <c r="K10" s="12" t="n">
        <f aca="false">SUMIF($B$5:$I$5,"Jueves",B10:I10)</f>
        <v>3</v>
      </c>
      <c r="L10" s="12" t="n">
        <f aca="false">SUMIF($B$5:$I$5,"Sábado",B10:I10)</f>
        <v>8</v>
      </c>
      <c r="M10" s="15" t="n">
        <f aca="false">F10+J10</f>
        <v>11</v>
      </c>
      <c r="N10" s="12" t="n">
        <f aca="false">COUNTIFS('Calendario '!$A$3:$A$107,"Jornada jugada",'Calendario '!$E$3:$E$107,$A10)+COUNTIFS('Calendario '!$A$3:$A$107,"Jornada jugada",'Calendario '!$F$3:$F$107,$A10)</f>
        <v>2</v>
      </c>
      <c r="O10" s="15" t="n">
        <f aca="false">M10+N10</f>
        <v>13</v>
      </c>
      <c r="P10" s="12" t="n">
        <f aca="false">COUNTIF('Calendario '!$E$3:$E$107,$A10)</f>
        <v>6</v>
      </c>
      <c r="Q10" s="12" t="n">
        <f aca="false">COUNTIF('Calendario '!$F$3:$F$107,$A10)</f>
        <v>7</v>
      </c>
    </row>
    <row r="11" customFormat="false" ht="15" hidden="false" customHeight="false" outlineLevel="0" collapsed="false">
      <c r="A11" s="11" t="s">
        <v>14</v>
      </c>
      <c r="B11" s="12" t="n">
        <f aca="false">COUNTIFS('Calendario '!$D$3:$D$107,"Estrella",'Calendario '!$B$3:$B$107,B$5,'Calendario '!$C$3:$C$107,B$6,'Calendario '!$E$3:$E$107,$A11)+COUNTIFS('Calendario '!$D$3:$D$107,"Estrella",'Calendario '!$B$3:$B$107,B$5,'Calendario '!$C$3:$C$107,B$6,'Calendario '!$F$3:$F$107,$A11)</f>
        <v>1</v>
      </c>
      <c r="C11" s="12" t="n">
        <f aca="false">COUNTIFS('Calendario '!$D$3:$D$107,"Estrella",'Calendario '!$B$3:$B$107,C$5,'Calendario '!$C$3:$C$107,C$6,'Calendario '!$E$3:$E$107,$A11)+COUNTIFS('Calendario '!$D$3:$D$107,"Estrella",'Calendario '!$B$3:$B$107,C$5,'Calendario '!$C$3:$C$107,C$6,'Calendario '!$F$3:$F$107,$A11)</f>
        <v>1</v>
      </c>
      <c r="D11" s="12" t="n">
        <f aca="false">COUNTIFS('Calendario '!$D$3:$D$107,"Estrella",'Calendario '!$B$3:$B$107,D$5,'Calendario '!$C$3:$C$107,D$6,'Calendario '!$E$3:$E$107,$A11)+COUNTIFS('Calendario '!$D$3:$D$107,"Estrella",'Calendario '!$B$3:$B$107,D$5,'Calendario '!$C$3:$C$107,D$6,'Calendario '!$F$3:$F$107,$A11)</f>
        <v>2</v>
      </c>
      <c r="E11" s="12" t="n">
        <f aca="false">COUNTIFS('Calendario '!$D$3:$D$107,"Estrella",'Calendario '!$B$3:$B$107,E$5,'Calendario '!$C$3:$C$107,E$6,'Calendario '!$E$3:$E$107,$A11)+COUNTIFS('Calendario '!$D$3:$D$107,"Estrella",'Calendario '!$B$3:$B$107,E$5,'Calendario '!$C$3:$C$107,E$6,'Calendario '!$F$3:$F$107,$A11)</f>
        <v>2</v>
      </c>
      <c r="F11" s="13" t="n">
        <f aca="false">SUM(B11:E11)</f>
        <v>6</v>
      </c>
      <c r="G11" s="12" t="n">
        <f aca="false">COUNTIFS('Calendario '!$D$3:$D$107,"Kennedy",'Calendario '!$B$3:$B$107,G$5,'Calendario '!$C$3:$C$107,G$6,'Calendario '!$E$3:$E$107,$A11)+COUNTIFS('Calendario '!$D$3:$D$107,"Kennedy",'Calendario '!$B$3:$B$107,G$5,'Calendario '!$C$3:$C$107,G$6,'Calendario '!$F$3:$F$107,$A11)</f>
        <v>2</v>
      </c>
      <c r="H11" s="12" t="n">
        <f aca="false">COUNTIFS('Calendario '!$D$3:$D$107,"Kennedy",'Calendario '!$B$3:$B$107,H$5,'Calendario '!$C$3:$C$107,H$6,'Calendario '!$E$3:$E$107,$A11)+COUNTIFS('Calendario '!$D$3:$D$107,"Kennedy",'Calendario '!$B$3:$B$107,H$5,'Calendario '!$C$3:$C$107,H$6,'Calendario '!$F$3:$F$107,$A11)</f>
        <v>1</v>
      </c>
      <c r="I11" s="12" t="n">
        <f aca="false">COUNTIFS('Calendario '!$D$3:$D$107,"Kennedy",'Calendario '!$B$3:$B$107,I$5,'Calendario '!$C$3:$C$107,I$6,'Calendario '!$E$3:$E$107,$A11)+COUNTIFS('Calendario '!$D$3:$D$107,"Kennedy",'Calendario '!$B$3:$B$107,I$5,'Calendario '!$C$3:$C$107,I$6,'Calendario '!$F$3:$F$107,$A11)</f>
        <v>2</v>
      </c>
      <c r="J11" s="14" t="n">
        <f aca="false">SUM(G11:I11)</f>
        <v>5</v>
      </c>
      <c r="K11" s="12" t="n">
        <f aca="false">SUMIF($B$5:$I$5,"Jueves",B11:I11)</f>
        <v>2</v>
      </c>
      <c r="L11" s="12" t="n">
        <f aca="false">SUMIF($B$5:$I$5,"Sábado",B11:I11)</f>
        <v>9</v>
      </c>
      <c r="M11" s="15" t="n">
        <f aca="false">F11+J11</f>
        <v>11</v>
      </c>
      <c r="N11" s="12" t="n">
        <f aca="false">COUNTIFS('Calendario '!$A$3:$A$107,"Jornada jugada",'Calendario '!$E$3:$E$107,$A11)+COUNTIFS('Calendario '!$A$3:$A$107,"Jornada jugada",'Calendario '!$F$3:$F$107,$A11)</f>
        <v>2</v>
      </c>
      <c r="O11" s="15" t="n">
        <f aca="false">M11+N11</f>
        <v>13</v>
      </c>
      <c r="P11" s="12" t="n">
        <f aca="false">COUNTIF('Calendario '!$E$3:$E$107,$A11)</f>
        <v>7</v>
      </c>
      <c r="Q11" s="12" t="n">
        <f aca="false">COUNTIF('Calendario '!$F$3:$F$107,$A11)</f>
        <v>6</v>
      </c>
    </row>
    <row r="12" customFormat="false" ht="15" hidden="false" customHeight="false" outlineLevel="0" collapsed="false">
      <c r="A12" s="11" t="s">
        <v>17</v>
      </c>
      <c r="B12" s="12" t="n">
        <f aca="false">COUNTIFS('Calendario '!$D$3:$D$107,"Estrella",'Calendario '!$B$3:$B$107,B$5,'Calendario '!$C$3:$C$107,B$6,'Calendario '!$E$3:$E$107,$A12)+COUNTIFS('Calendario '!$D$3:$D$107,"Estrella",'Calendario '!$B$3:$B$107,B$5,'Calendario '!$C$3:$C$107,B$6,'Calendario '!$F$3:$F$107,$A12)</f>
        <v>2</v>
      </c>
      <c r="C12" s="12" t="n">
        <f aca="false">COUNTIFS('Calendario '!$D$3:$D$107,"Estrella",'Calendario '!$B$3:$B$107,C$5,'Calendario '!$C$3:$C$107,C$6,'Calendario '!$E$3:$E$107,$A12)+COUNTIFS('Calendario '!$D$3:$D$107,"Estrella",'Calendario '!$B$3:$B$107,C$5,'Calendario '!$C$3:$C$107,C$6,'Calendario '!$F$3:$F$107,$A12)</f>
        <v>1</v>
      </c>
      <c r="D12" s="12" t="n">
        <f aca="false">COUNTIFS('Calendario '!$D$3:$D$107,"Estrella",'Calendario '!$B$3:$B$107,D$5,'Calendario '!$C$3:$C$107,D$6,'Calendario '!$E$3:$E$107,$A12)+COUNTIFS('Calendario '!$D$3:$D$107,"Estrella",'Calendario '!$B$3:$B$107,D$5,'Calendario '!$C$3:$C$107,D$6,'Calendario '!$F$3:$F$107,$A12)</f>
        <v>2</v>
      </c>
      <c r="E12" s="12" t="n">
        <f aca="false">COUNTIFS('Calendario '!$D$3:$D$107,"Estrella",'Calendario '!$B$3:$B$107,E$5,'Calendario '!$C$3:$C$107,E$6,'Calendario '!$E$3:$E$107,$A12)+COUNTIFS('Calendario '!$D$3:$D$107,"Estrella",'Calendario '!$B$3:$B$107,E$5,'Calendario '!$C$3:$C$107,E$6,'Calendario '!$F$3:$F$107,$A12)</f>
        <v>1</v>
      </c>
      <c r="F12" s="13" t="n">
        <f aca="false">SUM(B12:E12)</f>
        <v>6</v>
      </c>
      <c r="G12" s="12" t="n">
        <f aca="false">COUNTIFS('Calendario '!$D$3:$D$107,"Kennedy",'Calendario '!$B$3:$B$107,G$5,'Calendario '!$C$3:$C$107,G$6,'Calendario '!$E$3:$E$107,$A12)+COUNTIFS('Calendario '!$D$3:$D$107,"Kennedy",'Calendario '!$B$3:$B$107,G$5,'Calendario '!$C$3:$C$107,G$6,'Calendario '!$F$3:$F$107,$A12)</f>
        <v>2</v>
      </c>
      <c r="H12" s="12" t="n">
        <f aca="false">COUNTIFS('Calendario '!$D$3:$D$107,"Kennedy",'Calendario '!$B$3:$B$107,H$5,'Calendario '!$C$3:$C$107,H$6,'Calendario '!$E$3:$E$107,$A12)+COUNTIFS('Calendario '!$D$3:$D$107,"Kennedy",'Calendario '!$B$3:$B$107,H$5,'Calendario '!$C$3:$C$107,H$6,'Calendario '!$F$3:$F$107,$A12)</f>
        <v>1</v>
      </c>
      <c r="I12" s="12" t="n">
        <f aca="false">COUNTIFS('Calendario '!$D$3:$D$107,"Kennedy",'Calendario '!$B$3:$B$107,I$5,'Calendario '!$C$3:$C$107,I$6,'Calendario '!$E$3:$E$107,$A12)+COUNTIFS('Calendario '!$D$3:$D$107,"Kennedy",'Calendario '!$B$3:$B$107,I$5,'Calendario '!$C$3:$C$107,I$6,'Calendario '!$F$3:$F$107,$A12)</f>
        <v>2</v>
      </c>
      <c r="J12" s="14" t="n">
        <f aca="false">SUM(G12:I12)</f>
        <v>5</v>
      </c>
      <c r="K12" s="12" t="n">
        <f aca="false">SUMIF($B$5:$I$5,"Jueves",B12:I12)</f>
        <v>3</v>
      </c>
      <c r="L12" s="12" t="n">
        <f aca="false">SUMIF($B$5:$I$5,"Sábado",B12:I12)</f>
        <v>8</v>
      </c>
      <c r="M12" s="15" t="n">
        <f aca="false">F12+J12</f>
        <v>11</v>
      </c>
      <c r="N12" s="12" t="n">
        <f aca="false">COUNTIFS('Calendario '!$A$3:$A$107,"Jornada jugada",'Calendario '!$E$3:$E$107,$A12)+COUNTIFS('Calendario '!$A$3:$A$107,"Jornada jugada",'Calendario '!$F$3:$F$107,$A12)</f>
        <v>2</v>
      </c>
      <c r="O12" s="15" t="n">
        <f aca="false">M12+N12</f>
        <v>13</v>
      </c>
      <c r="P12" s="12" t="n">
        <f aca="false">COUNTIF('Calendario '!$E$3:$E$107,$A12)</f>
        <v>6</v>
      </c>
      <c r="Q12" s="12" t="n">
        <f aca="false">COUNTIF('Calendario '!$F$3:$F$107,$A12)</f>
        <v>7</v>
      </c>
    </row>
    <row r="13" customFormat="false" ht="15" hidden="false" customHeight="false" outlineLevel="0" collapsed="false">
      <c r="A13" s="11" t="s">
        <v>12</v>
      </c>
      <c r="B13" s="12" t="n">
        <f aca="false">COUNTIFS('Calendario '!$D$3:$D$107,"Estrella",'Calendario '!$B$3:$B$107,B$5,'Calendario '!$C$3:$C$107,B$6,'Calendario '!$E$3:$E$107,$A13)+COUNTIFS('Calendario '!$D$3:$D$107,"Estrella",'Calendario '!$B$3:$B$107,B$5,'Calendario '!$C$3:$C$107,B$6,'Calendario '!$F$3:$F$107,$A13)</f>
        <v>1</v>
      </c>
      <c r="C13" s="12" t="n">
        <f aca="false">COUNTIFS('Calendario '!$D$3:$D$107,"Estrella",'Calendario '!$B$3:$B$107,C$5,'Calendario '!$C$3:$C$107,C$6,'Calendario '!$E$3:$E$107,$A13)+COUNTIFS('Calendario '!$D$3:$D$107,"Estrella",'Calendario '!$B$3:$B$107,C$5,'Calendario '!$C$3:$C$107,C$6,'Calendario '!$F$3:$F$107,$A13)</f>
        <v>1</v>
      </c>
      <c r="D13" s="12" t="n">
        <f aca="false">COUNTIFS('Calendario '!$D$3:$D$107,"Estrella",'Calendario '!$B$3:$B$107,D$5,'Calendario '!$C$3:$C$107,D$6,'Calendario '!$E$3:$E$107,$A13)+COUNTIFS('Calendario '!$D$3:$D$107,"Estrella",'Calendario '!$B$3:$B$107,D$5,'Calendario '!$C$3:$C$107,D$6,'Calendario '!$F$3:$F$107,$A13)</f>
        <v>2</v>
      </c>
      <c r="E13" s="12" t="n">
        <f aca="false">COUNTIFS('Calendario '!$D$3:$D$107,"Estrella",'Calendario '!$B$3:$B$107,E$5,'Calendario '!$C$3:$C$107,E$6,'Calendario '!$E$3:$E$107,$A13)+COUNTIFS('Calendario '!$D$3:$D$107,"Estrella",'Calendario '!$B$3:$B$107,E$5,'Calendario '!$C$3:$C$107,E$6,'Calendario '!$F$3:$F$107,$A13)</f>
        <v>1</v>
      </c>
      <c r="F13" s="13" t="n">
        <f aca="false">SUM(B13:E13)</f>
        <v>5</v>
      </c>
      <c r="G13" s="12" t="n">
        <f aca="false">COUNTIFS('Calendario '!$D$3:$D$107,"Kennedy",'Calendario '!$B$3:$B$107,G$5,'Calendario '!$C$3:$C$107,G$6,'Calendario '!$E$3:$E$107,$A13)+COUNTIFS('Calendario '!$D$3:$D$107,"Kennedy",'Calendario '!$B$3:$B$107,G$5,'Calendario '!$C$3:$C$107,G$6,'Calendario '!$F$3:$F$107,$A13)</f>
        <v>2</v>
      </c>
      <c r="H13" s="12" t="n">
        <f aca="false">COUNTIFS('Calendario '!$D$3:$D$107,"Kennedy",'Calendario '!$B$3:$B$107,H$5,'Calendario '!$C$3:$C$107,H$6,'Calendario '!$E$3:$E$107,$A13)+COUNTIFS('Calendario '!$D$3:$D$107,"Kennedy",'Calendario '!$B$3:$B$107,H$5,'Calendario '!$C$3:$C$107,H$6,'Calendario '!$F$3:$F$107,$A13)</f>
        <v>2</v>
      </c>
      <c r="I13" s="12" t="n">
        <f aca="false">COUNTIFS('Calendario '!$D$3:$D$107,"Kennedy",'Calendario '!$B$3:$B$107,I$5,'Calendario '!$C$3:$C$107,I$6,'Calendario '!$E$3:$E$107,$A13)+COUNTIFS('Calendario '!$D$3:$D$107,"Kennedy",'Calendario '!$B$3:$B$107,I$5,'Calendario '!$C$3:$C$107,I$6,'Calendario '!$F$3:$F$107,$A13)</f>
        <v>2</v>
      </c>
      <c r="J13" s="14" t="n">
        <f aca="false">SUM(G13:I13)</f>
        <v>6</v>
      </c>
      <c r="K13" s="12" t="n">
        <f aca="false">SUMIF($B$5:$I$5,"Jueves",B13:I13)</f>
        <v>2</v>
      </c>
      <c r="L13" s="12" t="n">
        <f aca="false">SUMIF($B$5:$I$5,"Sábado",B13:I13)</f>
        <v>9</v>
      </c>
      <c r="M13" s="15" t="n">
        <f aca="false">F13+J13</f>
        <v>11</v>
      </c>
      <c r="N13" s="12" t="n">
        <f aca="false">COUNTIFS('Calendario '!$A$3:$A$107,"Jornada jugada",'Calendario '!$E$3:$E$107,$A13)+COUNTIFS('Calendario '!$A$3:$A$107,"Jornada jugada",'Calendario '!$F$3:$F$107,$A13)</f>
        <v>2</v>
      </c>
      <c r="O13" s="15" t="n">
        <f aca="false">M13+N13</f>
        <v>13</v>
      </c>
      <c r="P13" s="12" t="n">
        <f aca="false">COUNTIF('Calendario '!$E$3:$E$107,$A13)</f>
        <v>7</v>
      </c>
      <c r="Q13" s="12" t="n">
        <f aca="false">COUNTIF('Calendario '!$F$3:$F$107,$A13)</f>
        <v>6</v>
      </c>
    </row>
    <row r="14" customFormat="false" ht="15" hidden="false" customHeight="false" outlineLevel="0" collapsed="false">
      <c r="A14" s="11" t="s">
        <v>15</v>
      </c>
      <c r="B14" s="12" t="n">
        <f aca="false">COUNTIFS('Calendario '!$D$3:$D$107,"Estrella",'Calendario '!$B$3:$B$107,B$5,'Calendario '!$C$3:$C$107,B$6,'Calendario '!$E$3:$E$107,$A14)+COUNTIFS('Calendario '!$D$3:$D$107,"Estrella",'Calendario '!$B$3:$B$107,B$5,'Calendario '!$C$3:$C$107,B$6,'Calendario '!$F$3:$F$107,$A14)</f>
        <v>1</v>
      </c>
      <c r="C14" s="12" t="n">
        <f aca="false">COUNTIFS('Calendario '!$D$3:$D$107,"Estrella",'Calendario '!$B$3:$B$107,C$5,'Calendario '!$C$3:$C$107,C$6,'Calendario '!$E$3:$E$107,$A14)+COUNTIFS('Calendario '!$D$3:$D$107,"Estrella",'Calendario '!$B$3:$B$107,C$5,'Calendario '!$C$3:$C$107,C$6,'Calendario '!$F$3:$F$107,$A14)</f>
        <v>1</v>
      </c>
      <c r="D14" s="12" t="n">
        <f aca="false">COUNTIFS('Calendario '!$D$3:$D$107,"Estrella",'Calendario '!$B$3:$B$107,D$5,'Calendario '!$C$3:$C$107,D$6,'Calendario '!$E$3:$E$107,$A14)+COUNTIFS('Calendario '!$D$3:$D$107,"Estrella",'Calendario '!$B$3:$B$107,D$5,'Calendario '!$C$3:$C$107,D$6,'Calendario '!$F$3:$F$107,$A14)</f>
        <v>1</v>
      </c>
      <c r="E14" s="12" t="n">
        <f aca="false">COUNTIFS('Calendario '!$D$3:$D$107,"Estrella",'Calendario '!$B$3:$B$107,E$5,'Calendario '!$C$3:$C$107,E$6,'Calendario '!$E$3:$E$107,$A14)+COUNTIFS('Calendario '!$D$3:$D$107,"Estrella",'Calendario '!$B$3:$B$107,E$5,'Calendario '!$C$3:$C$107,E$6,'Calendario '!$F$3:$F$107,$A14)</f>
        <v>2</v>
      </c>
      <c r="F14" s="13" t="n">
        <f aca="false">SUM(B14:E14)</f>
        <v>5</v>
      </c>
      <c r="G14" s="12" t="n">
        <f aca="false">COUNTIFS('Calendario '!$D$3:$D$107,"Kennedy",'Calendario '!$B$3:$B$107,G$5,'Calendario '!$C$3:$C$107,G$6,'Calendario '!$E$3:$E$107,$A14)+COUNTIFS('Calendario '!$D$3:$D$107,"Kennedy",'Calendario '!$B$3:$B$107,G$5,'Calendario '!$C$3:$C$107,G$6,'Calendario '!$F$3:$F$107,$A14)</f>
        <v>2</v>
      </c>
      <c r="H14" s="12" t="n">
        <f aca="false">COUNTIFS('Calendario '!$D$3:$D$107,"Kennedy",'Calendario '!$B$3:$B$107,H$5,'Calendario '!$C$3:$C$107,H$6,'Calendario '!$E$3:$E$107,$A14)+COUNTIFS('Calendario '!$D$3:$D$107,"Kennedy",'Calendario '!$B$3:$B$107,H$5,'Calendario '!$C$3:$C$107,H$6,'Calendario '!$F$3:$F$107,$A14)</f>
        <v>2</v>
      </c>
      <c r="I14" s="12" t="n">
        <f aca="false">COUNTIFS('Calendario '!$D$3:$D$107,"Kennedy",'Calendario '!$B$3:$B$107,I$5,'Calendario '!$C$3:$C$107,I$6,'Calendario '!$E$3:$E$107,$A14)+COUNTIFS('Calendario '!$D$3:$D$107,"Kennedy",'Calendario '!$B$3:$B$107,I$5,'Calendario '!$C$3:$C$107,I$6,'Calendario '!$F$3:$F$107,$A14)</f>
        <v>2</v>
      </c>
      <c r="J14" s="14" t="n">
        <f aca="false">SUM(G14:I14)</f>
        <v>6</v>
      </c>
      <c r="K14" s="12" t="n">
        <f aca="false">SUMIF($B$5:$I$5,"Jueves",B14:I14)</f>
        <v>2</v>
      </c>
      <c r="L14" s="12" t="n">
        <f aca="false">SUMIF($B$5:$I$5,"Sábado",B14:I14)</f>
        <v>9</v>
      </c>
      <c r="M14" s="15" t="n">
        <f aca="false">F14+J14</f>
        <v>11</v>
      </c>
      <c r="N14" s="12" t="n">
        <f aca="false">COUNTIFS('Calendario '!$A$3:$A$107,"Jornada jugada",'Calendario '!$E$3:$E$107,$A14)+COUNTIFS('Calendario '!$A$3:$A$107,"Jornada jugada",'Calendario '!$F$3:$F$107,$A14)</f>
        <v>2</v>
      </c>
      <c r="O14" s="15" t="n">
        <f aca="false">M14+N14</f>
        <v>13</v>
      </c>
      <c r="P14" s="12" t="n">
        <f aca="false">COUNTIF('Calendario '!$E$3:$E$107,$A14)</f>
        <v>6</v>
      </c>
      <c r="Q14" s="12" t="n">
        <f aca="false">COUNTIF('Calendario '!$F$3:$F$107,$A14)</f>
        <v>7</v>
      </c>
    </row>
    <row r="15" customFormat="false" ht="15" hidden="false" customHeight="false" outlineLevel="0" collapsed="false">
      <c r="A15" s="11" t="s">
        <v>18</v>
      </c>
      <c r="B15" s="12" t="n">
        <f aca="false">COUNTIFS('Calendario '!$D$3:$D$107,"Estrella",'Calendario '!$B$3:$B$107,B$5,'Calendario '!$C$3:$C$107,B$6,'Calendario '!$E$3:$E$107,$A15)+COUNTIFS('Calendario '!$D$3:$D$107,"Estrella",'Calendario '!$B$3:$B$107,B$5,'Calendario '!$C$3:$C$107,B$6,'Calendario '!$F$3:$F$107,$A15)</f>
        <v>2</v>
      </c>
      <c r="C15" s="12" t="n">
        <f aca="false">COUNTIFS('Calendario '!$D$3:$D$107,"Estrella",'Calendario '!$B$3:$B$107,C$5,'Calendario '!$C$3:$C$107,C$6,'Calendario '!$E$3:$E$107,$A15)+COUNTIFS('Calendario '!$D$3:$D$107,"Estrella",'Calendario '!$B$3:$B$107,C$5,'Calendario '!$C$3:$C$107,C$6,'Calendario '!$F$3:$F$107,$A15)</f>
        <v>2</v>
      </c>
      <c r="D15" s="12" t="n">
        <f aca="false">COUNTIFS('Calendario '!$D$3:$D$107,"Estrella",'Calendario '!$B$3:$B$107,D$5,'Calendario '!$C$3:$C$107,D$6,'Calendario '!$E$3:$E$107,$A15)+COUNTIFS('Calendario '!$D$3:$D$107,"Estrella",'Calendario '!$B$3:$B$107,D$5,'Calendario '!$C$3:$C$107,D$6,'Calendario '!$F$3:$F$107,$A15)</f>
        <v>2</v>
      </c>
      <c r="E15" s="12" t="n">
        <f aca="false">COUNTIFS('Calendario '!$D$3:$D$107,"Estrella",'Calendario '!$B$3:$B$107,E$5,'Calendario '!$C$3:$C$107,E$6,'Calendario '!$E$3:$E$107,$A15)+COUNTIFS('Calendario '!$D$3:$D$107,"Estrella",'Calendario '!$B$3:$B$107,E$5,'Calendario '!$C$3:$C$107,E$6,'Calendario '!$F$3:$F$107,$A15)</f>
        <v>2</v>
      </c>
      <c r="F15" s="13" t="n">
        <f aca="false">SUM(B15:E15)</f>
        <v>8</v>
      </c>
      <c r="G15" s="12" t="n">
        <f aca="false">COUNTIFS('Calendario '!$D$3:$D$107,"Kennedy",'Calendario '!$B$3:$B$107,G$5,'Calendario '!$C$3:$C$107,G$6,'Calendario '!$E$3:$E$107,$A15)+COUNTIFS('Calendario '!$D$3:$D$107,"Kennedy",'Calendario '!$B$3:$B$107,G$5,'Calendario '!$C$3:$C$107,G$6,'Calendario '!$F$3:$F$107,$A15)</f>
        <v>1</v>
      </c>
      <c r="H15" s="12" t="n">
        <f aca="false">COUNTIFS('Calendario '!$D$3:$D$107,"Kennedy",'Calendario '!$B$3:$B$107,H$5,'Calendario '!$C$3:$C$107,H$6,'Calendario '!$E$3:$E$107,$A15)+COUNTIFS('Calendario '!$D$3:$D$107,"Kennedy",'Calendario '!$B$3:$B$107,H$5,'Calendario '!$C$3:$C$107,H$6,'Calendario '!$F$3:$F$107,$A15)</f>
        <v>1</v>
      </c>
      <c r="I15" s="12" t="n">
        <f aca="false">COUNTIFS('Calendario '!$D$3:$D$107,"Kennedy",'Calendario '!$B$3:$B$107,I$5,'Calendario '!$C$3:$C$107,I$6,'Calendario '!$E$3:$E$107,$A15)+COUNTIFS('Calendario '!$D$3:$D$107,"Kennedy",'Calendario '!$B$3:$B$107,I$5,'Calendario '!$C$3:$C$107,I$6,'Calendario '!$F$3:$F$107,$A15)</f>
        <v>1</v>
      </c>
      <c r="J15" s="14" t="n">
        <f aca="false">SUM(G15:I15)</f>
        <v>3</v>
      </c>
      <c r="K15" s="12" t="n">
        <f aca="false">SUMIF($B$5:$I$5,"Jueves",B15:I15)</f>
        <v>4</v>
      </c>
      <c r="L15" s="12" t="n">
        <f aca="false">SUMIF($B$5:$I$5,"Sábado",B15:I15)</f>
        <v>7</v>
      </c>
      <c r="M15" s="15" t="n">
        <f aca="false">F15+J15</f>
        <v>11</v>
      </c>
      <c r="N15" s="12" t="n">
        <f aca="false">COUNTIFS('Calendario '!$A$3:$A$107,"Jornada jugada",'Calendario '!$E$3:$E$107,$A15)+COUNTIFS('Calendario '!$A$3:$A$107,"Jornada jugada",'Calendario '!$F$3:$F$107,$A15)</f>
        <v>2</v>
      </c>
      <c r="O15" s="15" t="n">
        <f aca="false">M15+N15</f>
        <v>13</v>
      </c>
      <c r="P15" s="12" t="n">
        <f aca="false">COUNTIF('Calendario '!$E$3:$E$107,$A15)</f>
        <v>6</v>
      </c>
      <c r="Q15" s="12" t="n">
        <f aca="false">COUNTIF('Calendario '!$F$3:$F$107,$A15)</f>
        <v>7</v>
      </c>
    </row>
    <row r="16" customFormat="false" ht="15" hidden="false" customHeight="false" outlineLevel="0" collapsed="false">
      <c r="A16" s="11" t="s">
        <v>16</v>
      </c>
      <c r="B16" s="12" t="n">
        <f aca="false">COUNTIFS('Calendario '!$D$3:$D$107,"Estrella",'Calendario '!$B$3:$B$107,B$5,'Calendario '!$C$3:$C$107,B$6,'Calendario '!$E$3:$E$107,$A16)+COUNTIFS('Calendario '!$D$3:$D$107,"Estrella",'Calendario '!$B$3:$B$107,B$5,'Calendario '!$C$3:$C$107,B$6,'Calendario '!$F$3:$F$107,$A16)</f>
        <v>2</v>
      </c>
      <c r="C16" s="12" t="n">
        <f aca="false">COUNTIFS('Calendario '!$D$3:$D$107,"Estrella",'Calendario '!$B$3:$B$107,C$5,'Calendario '!$C$3:$C$107,C$6,'Calendario '!$E$3:$E$107,$A16)+COUNTIFS('Calendario '!$D$3:$D$107,"Estrella",'Calendario '!$B$3:$B$107,C$5,'Calendario '!$C$3:$C$107,C$6,'Calendario '!$F$3:$F$107,$A16)</f>
        <v>2</v>
      </c>
      <c r="D16" s="12" t="n">
        <f aca="false">COUNTIFS('Calendario '!$D$3:$D$107,"Estrella",'Calendario '!$B$3:$B$107,D$5,'Calendario '!$C$3:$C$107,D$6,'Calendario '!$E$3:$E$107,$A16)+COUNTIFS('Calendario '!$D$3:$D$107,"Estrella",'Calendario '!$B$3:$B$107,D$5,'Calendario '!$C$3:$C$107,D$6,'Calendario '!$F$3:$F$107,$A16)</f>
        <v>1</v>
      </c>
      <c r="E16" s="12" t="n">
        <f aca="false">COUNTIFS('Calendario '!$D$3:$D$107,"Estrella",'Calendario '!$B$3:$B$107,E$5,'Calendario '!$C$3:$C$107,E$6,'Calendario '!$E$3:$E$107,$A16)+COUNTIFS('Calendario '!$D$3:$D$107,"Estrella",'Calendario '!$B$3:$B$107,E$5,'Calendario '!$C$3:$C$107,E$6,'Calendario '!$F$3:$F$107,$A16)</f>
        <v>1</v>
      </c>
      <c r="F16" s="13" t="n">
        <f aca="false">SUM(B16:E16)</f>
        <v>6</v>
      </c>
      <c r="G16" s="12" t="n">
        <f aca="false">COUNTIFS('Calendario '!$D$3:$D$107,"Kennedy",'Calendario '!$B$3:$B$107,G$5,'Calendario '!$C$3:$C$107,G$6,'Calendario '!$E$3:$E$107,$A16)+COUNTIFS('Calendario '!$D$3:$D$107,"Kennedy",'Calendario '!$B$3:$B$107,G$5,'Calendario '!$C$3:$C$107,G$6,'Calendario '!$F$3:$F$107,$A16)</f>
        <v>2</v>
      </c>
      <c r="H16" s="12" t="n">
        <f aca="false">COUNTIFS('Calendario '!$D$3:$D$107,"Kennedy",'Calendario '!$B$3:$B$107,H$5,'Calendario '!$C$3:$C$107,H$6,'Calendario '!$E$3:$E$107,$A16)+COUNTIFS('Calendario '!$D$3:$D$107,"Kennedy",'Calendario '!$B$3:$B$107,H$5,'Calendario '!$C$3:$C$107,H$6,'Calendario '!$F$3:$F$107,$A16)</f>
        <v>1</v>
      </c>
      <c r="I16" s="12" t="n">
        <f aca="false">COUNTIFS('Calendario '!$D$3:$D$107,"Kennedy",'Calendario '!$B$3:$B$107,I$5,'Calendario '!$C$3:$C$107,I$6,'Calendario '!$E$3:$E$107,$A16)+COUNTIFS('Calendario '!$D$3:$D$107,"Kennedy",'Calendario '!$B$3:$B$107,I$5,'Calendario '!$C$3:$C$107,I$6,'Calendario '!$F$3:$F$107,$A16)</f>
        <v>2</v>
      </c>
      <c r="J16" s="14" t="n">
        <f aca="false">SUM(G16:I16)</f>
        <v>5</v>
      </c>
      <c r="K16" s="12" t="n">
        <f aca="false">SUMIF($B$5:$I$5,"Jueves",B16:I16)</f>
        <v>4</v>
      </c>
      <c r="L16" s="12" t="n">
        <f aca="false">SUMIF($B$5:$I$5,"Sábado",B16:I16)</f>
        <v>7</v>
      </c>
      <c r="M16" s="15" t="n">
        <f aca="false">F16+J16</f>
        <v>11</v>
      </c>
      <c r="N16" s="12" t="n">
        <f aca="false">COUNTIFS('Calendario '!$A$3:$A$107,"Jornada jugada",'Calendario '!$E$3:$E$107,$A16)+COUNTIFS('Calendario '!$A$3:$A$107,"Jornada jugada",'Calendario '!$F$3:$F$107,$A16)</f>
        <v>2</v>
      </c>
      <c r="O16" s="15" t="n">
        <f aca="false">M16+N16</f>
        <v>13</v>
      </c>
      <c r="P16" s="12" t="n">
        <f aca="false">COUNTIF('Calendario '!$E$3:$E$107,$A16)</f>
        <v>7</v>
      </c>
      <c r="Q16" s="12" t="n">
        <f aca="false">COUNTIF('Calendario '!$F$3:$F$107,$A16)</f>
        <v>6</v>
      </c>
    </row>
    <row r="17" customFormat="false" ht="15" hidden="false" customHeight="false" outlineLevel="0" collapsed="false">
      <c r="A17" s="11" t="s">
        <v>22</v>
      </c>
      <c r="B17" s="12" t="n">
        <f aca="false">COUNTIFS('Calendario '!$D$3:$D$107,"Estrella",'Calendario '!$B$3:$B$107,B$5,'Calendario '!$C$3:$C$107,B$6,'Calendario '!$E$3:$E$107,$A17)+COUNTIFS('Calendario '!$D$3:$D$107,"Estrella",'Calendario '!$B$3:$B$107,B$5,'Calendario '!$C$3:$C$107,B$6,'Calendario '!$F$3:$F$107,$A17)</f>
        <v>1</v>
      </c>
      <c r="C17" s="12" t="n">
        <f aca="false">COUNTIFS('Calendario '!$D$3:$D$107,"Estrella",'Calendario '!$B$3:$B$107,C$5,'Calendario '!$C$3:$C$107,C$6,'Calendario '!$E$3:$E$107,$A17)+COUNTIFS('Calendario '!$D$3:$D$107,"Estrella",'Calendario '!$B$3:$B$107,C$5,'Calendario '!$C$3:$C$107,C$6,'Calendario '!$F$3:$F$107,$A17)</f>
        <v>2</v>
      </c>
      <c r="D17" s="12" t="n">
        <f aca="false">COUNTIFS('Calendario '!$D$3:$D$107,"Estrella",'Calendario '!$B$3:$B$107,D$5,'Calendario '!$C$3:$C$107,D$6,'Calendario '!$E$3:$E$107,$A17)+COUNTIFS('Calendario '!$D$3:$D$107,"Estrella",'Calendario '!$B$3:$B$107,D$5,'Calendario '!$C$3:$C$107,D$6,'Calendario '!$F$3:$F$107,$A17)</f>
        <v>2</v>
      </c>
      <c r="E17" s="12" t="n">
        <f aca="false">COUNTIFS('Calendario '!$D$3:$D$107,"Estrella",'Calendario '!$B$3:$B$107,E$5,'Calendario '!$C$3:$C$107,E$6,'Calendario '!$E$3:$E$107,$A17)+COUNTIFS('Calendario '!$D$3:$D$107,"Estrella",'Calendario '!$B$3:$B$107,E$5,'Calendario '!$C$3:$C$107,E$6,'Calendario '!$F$3:$F$107,$A17)</f>
        <v>1</v>
      </c>
      <c r="F17" s="13" t="n">
        <f aca="false">SUM(B17:E17)</f>
        <v>6</v>
      </c>
      <c r="G17" s="12" t="n">
        <f aca="false">COUNTIFS('Calendario '!$D$3:$D$107,"Kennedy",'Calendario '!$B$3:$B$107,G$5,'Calendario '!$C$3:$C$107,G$6,'Calendario '!$E$3:$E$107,$A17)+COUNTIFS('Calendario '!$D$3:$D$107,"Kennedy",'Calendario '!$B$3:$B$107,G$5,'Calendario '!$C$3:$C$107,G$6,'Calendario '!$F$3:$F$107,$A17)</f>
        <v>2</v>
      </c>
      <c r="H17" s="12" t="n">
        <f aca="false">COUNTIFS('Calendario '!$D$3:$D$107,"Kennedy",'Calendario '!$B$3:$B$107,H$5,'Calendario '!$C$3:$C$107,H$6,'Calendario '!$E$3:$E$107,$A17)+COUNTIFS('Calendario '!$D$3:$D$107,"Kennedy",'Calendario '!$B$3:$B$107,H$5,'Calendario '!$C$3:$C$107,H$6,'Calendario '!$F$3:$F$107,$A17)</f>
        <v>2</v>
      </c>
      <c r="I17" s="12" t="n">
        <f aca="false">COUNTIFS('Calendario '!$D$3:$D$107,"Kennedy",'Calendario '!$B$3:$B$107,I$5,'Calendario '!$C$3:$C$107,I$6,'Calendario '!$E$3:$E$107,$A17)+COUNTIFS('Calendario '!$D$3:$D$107,"Kennedy",'Calendario '!$B$3:$B$107,I$5,'Calendario '!$C$3:$C$107,I$6,'Calendario '!$F$3:$F$107,$A17)</f>
        <v>1</v>
      </c>
      <c r="J17" s="14" t="n">
        <f aca="false">SUM(G17:I17)</f>
        <v>5</v>
      </c>
      <c r="K17" s="12" t="n">
        <f aca="false">SUMIF($B$5:$I$5,"Jueves",B17:I17)</f>
        <v>3</v>
      </c>
      <c r="L17" s="12" t="n">
        <f aca="false">SUMIF($B$5:$I$5,"Sábado",B17:I17)</f>
        <v>8</v>
      </c>
      <c r="M17" s="15" t="n">
        <f aca="false">F17+J17</f>
        <v>11</v>
      </c>
      <c r="N17" s="12" t="n">
        <f aca="false">COUNTIFS('Calendario '!$A$3:$A$107,"Jornada jugada",'Calendario '!$E$3:$E$107,$A17)+COUNTIFS('Calendario '!$A$3:$A$107,"Jornada jugada",'Calendario '!$F$3:$F$107,$A17)</f>
        <v>2</v>
      </c>
      <c r="O17" s="15" t="n">
        <f aca="false">M17+N17</f>
        <v>13</v>
      </c>
      <c r="P17" s="12" t="n">
        <f aca="false">COUNTIF('Calendario '!$E$3:$E$107,$A17)</f>
        <v>6</v>
      </c>
      <c r="Q17" s="12" t="n">
        <f aca="false">COUNTIF('Calendario '!$F$3:$F$107,$A17)</f>
        <v>7</v>
      </c>
    </row>
    <row r="18" customFormat="false" ht="15" hidden="false" customHeight="false" outlineLevel="0" collapsed="false">
      <c r="A18" s="11" t="s">
        <v>20</v>
      </c>
      <c r="B18" s="12" t="n">
        <f aca="false">COUNTIFS('Calendario '!$D$3:$D$107,"Estrella",'Calendario '!$B$3:$B$107,B$5,'Calendario '!$C$3:$C$107,B$6,'Calendario '!$E$3:$E$107,$A18)+COUNTIFS('Calendario '!$D$3:$D$107,"Estrella",'Calendario '!$B$3:$B$107,B$5,'Calendario '!$C$3:$C$107,B$6,'Calendario '!$F$3:$F$107,$A18)</f>
        <v>2</v>
      </c>
      <c r="C18" s="12" t="n">
        <f aca="false">COUNTIFS('Calendario '!$D$3:$D$107,"Estrella",'Calendario '!$B$3:$B$107,C$5,'Calendario '!$C$3:$C$107,C$6,'Calendario '!$E$3:$E$107,$A18)+COUNTIFS('Calendario '!$D$3:$D$107,"Estrella",'Calendario '!$B$3:$B$107,C$5,'Calendario '!$C$3:$C$107,C$6,'Calendario '!$F$3:$F$107,$A18)</f>
        <v>2</v>
      </c>
      <c r="D18" s="12" t="n">
        <f aca="false">COUNTIFS('Calendario '!$D$3:$D$107,"Estrella",'Calendario '!$B$3:$B$107,D$5,'Calendario '!$C$3:$C$107,D$6,'Calendario '!$E$3:$E$107,$A18)+COUNTIFS('Calendario '!$D$3:$D$107,"Estrella",'Calendario '!$B$3:$B$107,D$5,'Calendario '!$C$3:$C$107,D$6,'Calendario '!$F$3:$F$107,$A18)</f>
        <v>1</v>
      </c>
      <c r="E18" s="12" t="n">
        <f aca="false">COUNTIFS('Calendario '!$D$3:$D$107,"Estrella",'Calendario '!$B$3:$B$107,E$5,'Calendario '!$C$3:$C$107,E$6,'Calendario '!$E$3:$E$107,$A18)+COUNTIFS('Calendario '!$D$3:$D$107,"Estrella",'Calendario '!$B$3:$B$107,E$5,'Calendario '!$C$3:$C$107,E$6,'Calendario '!$F$3:$F$107,$A18)</f>
        <v>1</v>
      </c>
      <c r="F18" s="13" t="n">
        <f aca="false">SUM(B18:E18)</f>
        <v>6</v>
      </c>
      <c r="G18" s="12" t="n">
        <f aca="false">COUNTIFS('Calendario '!$D$3:$D$107,"Kennedy",'Calendario '!$B$3:$B$107,G$5,'Calendario '!$C$3:$C$107,G$6,'Calendario '!$E$3:$E$107,$A18)+COUNTIFS('Calendario '!$D$3:$D$107,"Kennedy",'Calendario '!$B$3:$B$107,G$5,'Calendario '!$C$3:$C$107,G$6,'Calendario '!$F$3:$F$107,$A18)</f>
        <v>1</v>
      </c>
      <c r="H18" s="12" t="n">
        <f aca="false">COUNTIFS('Calendario '!$D$3:$D$107,"Kennedy",'Calendario '!$B$3:$B$107,H$5,'Calendario '!$C$3:$C$107,H$6,'Calendario '!$E$3:$E$107,$A18)+COUNTIFS('Calendario '!$D$3:$D$107,"Kennedy",'Calendario '!$B$3:$B$107,H$5,'Calendario '!$C$3:$C$107,H$6,'Calendario '!$F$3:$F$107,$A18)</f>
        <v>2</v>
      </c>
      <c r="I18" s="12" t="n">
        <f aca="false">COUNTIFS('Calendario '!$D$3:$D$107,"Kennedy",'Calendario '!$B$3:$B$107,I$5,'Calendario '!$C$3:$C$107,I$6,'Calendario '!$E$3:$E$107,$A18)+COUNTIFS('Calendario '!$D$3:$D$107,"Kennedy",'Calendario '!$B$3:$B$107,I$5,'Calendario '!$C$3:$C$107,I$6,'Calendario '!$F$3:$F$107,$A18)</f>
        <v>2</v>
      </c>
      <c r="J18" s="14" t="n">
        <f aca="false">SUM(G18:I18)</f>
        <v>5</v>
      </c>
      <c r="K18" s="12" t="n">
        <f aca="false">SUMIF($B$5:$I$5,"Jueves",B18:I18)</f>
        <v>4</v>
      </c>
      <c r="L18" s="12" t="n">
        <f aca="false">SUMIF($B$5:$I$5,"Sábado",B18:I18)</f>
        <v>7</v>
      </c>
      <c r="M18" s="15" t="n">
        <f aca="false">F18+J18</f>
        <v>11</v>
      </c>
      <c r="N18" s="12" t="n">
        <f aca="false">COUNTIFS('Calendario '!$A$3:$A$107,"Jornada jugada",'Calendario '!$E$3:$E$107,$A18)+COUNTIFS('Calendario '!$A$3:$A$107,"Jornada jugada",'Calendario '!$F$3:$F$107,$A18)</f>
        <v>2</v>
      </c>
      <c r="O18" s="15" t="n">
        <f aca="false">M18+N18</f>
        <v>13</v>
      </c>
      <c r="P18" s="12" t="n">
        <f aca="false">COUNTIF('Calendario '!$E$3:$E$107,$A18)</f>
        <v>7</v>
      </c>
      <c r="Q18" s="12" t="n">
        <f aca="false">COUNTIF('Calendario '!$F$3:$F$107,$A18)</f>
        <v>6</v>
      </c>
    </row>
    <row r="19" customFormat="false" ht="15" hidden="false" customHeight="false" outlineLevel="0" collapsed="false">
      <c r="A19" s="11" t="s">
        <v>23</v>
      </c>
      <c r="B19" s="12" t="n">
        <f aca="false">COUNTIFS('Calendario '!$D$3:$D$107,"Estrella",'Calendario '!$B$3:$B$107,B$5,'Calendario '!$C$3:$C$107,B$6,'Calendario '!$E$3:$E$107,$A19)+COUNTIFS('Calendario '!$D$3:$D$107,"Estrella",'Calendario '!$B$3:$B$107,B$5,'Calendario '!$C$3:$C$107,B$6,'Calendario '!$F$3:$F$107,$A19)</f>
        <v>1</v>
      </c>
      <c r="C19" s="12" t="n">
        <f aca="false">COUNTIFS('Calendario '!$D$3:$D$107,"Estrella",'Calendario '!$B$3:$B$107,C$5,'Calendario '!$C$3:$C$107,C$6,'Calendario '!$E$3:$E$107,$A19)+COUNTIFS('Calendario '!$D$3:$D$107,"Estrella",'Calendario '!$B$3:$B$107,C$5,'Calendario '!$C$3:$C$107,C$6,'Calendario '!$F$3:$F$107,$A19)</f>
        <v>2</v>
      </c>
      <c r="D19" s="12" t="n">
        <f aca="false">COUNTIFS('Calendario '!$D$3:$D$107,"Estrella",'Calendario '!$B$3:$B$107,D$5,'Calendario '!$C$3:$C$107,D$6,'Calendario '!$E$3:$E$107,$A19)+COUNTIFS('Calendario '!$D$3:$D$107,"Estrella",'Calendario '!$B$3:$B$107,D$5,'Calendario '!$C$3:$C$107,D$6,'Calendario '!$F$3:$F$107,$A19)</f>
        <v>1</v>
      </c>
      <c r="E19" s="12" t="n">
        <f aca="false">COUNTIFS('Calendario '!$D$3:$D$107,"Estrella",'Calendario '!$B$3:$B$107,E$5,'Calendario '!$C$3:$C$107,E$6,'Calendario '!$E$3:$E$107,$A19)+COUNTIFS('Calendario '!$D$3:$D$107,"Estrella",'Calendario '!$B$3:$B$107,E$5,'Calendario '!$C$3:$C$107,E$6,'Calendario '!$F$3:$F$107,$A19)</f>
        <v>2</v>
      </c>
      <c r="F19" s="13" t="n">
        <f aca="false">SUM(B19:E19)</f>
        <v>6</v>
      </c>
      <c r="G19" s="12" t="n">
        <f aca="false">COUNTIFS('Calendario '!$D$3:$D$107,"Kennedy",'Calendario '!$B$3:$B$107,G$5,'Calendario '!$C$3:$C$107,G$6,'Calendario '!$E$3:$E$107,$A19)+COUNTIFS('Calendario '!$D$3:$D$107,"Kennedy",'Calendario '!$B$3:$B$107,G$5,'Calendario '!$C$3:$C$107,G$6,'Calendario '!$F$3:$F$107,$A19)</f>
        <v>2</v>
      </c>
      <c r="H19" s="12" t="n">
        <f aca="false">COUNTIFS('Calendario '!$D$3:$D$107,"Kennedy",'Calendario '!$B$3:$B$107,H$5,'Calendario '!$C$3:$C$107,H$6,'Calendario '!$E$3:$E$107,$A19)+COUNTIFS('Calendario '!$D$3:$D$107,"Kennedy",'Calendario '!$B$3:$B$107,H$5,'Calendario '!$C$3:$C$107,H$6,'Calendario '!$F$3:$F$107,$A19)</f>
        <v>2</v>
      </c>
      <c r="I19" s="12" t="n">
        <f aca="false">COUNTIFS('Calendario '!$D$3:$D$107,"Kennedy",'Calendario '!$B$3:$B$107,I$5,'Calendario '!$C$3:$C$107,I$6,'Calendario '!$E$3:$E$107,$A19)+COUNTIFS('Calendario '!$D$3:$D$107,"Kennedy",'Calendario '!$B$3:$B$107,I$5,'Calendario '!$C$3:$C$107,I$6,'Calendario '!$F$3:$F$107,$A19)</f>
        <v>1</v>
      </c>
      <c r="J19" s="14" t="n">
        <f aca="false">SUM(G19:I19)</f>
        <v>5</v>
      </c>
      <c r="K19" s="12" t="n">
        <f aca="false">SUMIF($B$5:$I$5,"Jueves",B19:I19)</f>
        <v>3</v>
      </c>
      <c r="L19" s="12" t="n">
        <f aca="false">SUMIF($B$5:$I$5,"Sábado",B19:I19)</f>
        <v>8</v>
      </c>
      <c r="M19" s="15" t="n">
        <f aca="false">F19+J19</f>
        <v>11</v>
      </c>
      <c r="N19" s="12" t="n">
        <f aca="false">COUNTIFS('Calendario '!$A$3:$A$107,"Jornada jugada",'Calendario '!$E$3:$E$107,$A19)+COUNTIFS('Calendario '!$A$3:$A$107,"Jornada jugada",'Calendario '!$F$3:$F$107,$A19)</f>
        <v>2</v>
      </c>
      <c r="O19" s="15" t="n">
        <f aca="false">M19+N19</f>
        <v>13</v>
      </c>
      <c r="P19" s="12" t="n">
        <f aca="false">COUNTIF('Calendario '!$E$3:$E$107,$A19)</f>
        <v>6</v>
      </c>
      <c r="Q19" s="12" t="n">
        <f aca="false">COUNTIF('Calendario '!$F$3:$F$107,$A19)</f>
        <v>7</v>
      </c>
    </row>
    <row r="20" customFormat="false" ht="15" hidden="false" customHeight="false" outlineLevel="0" collapsed="false">
      <c r="A20" s="11" t="s">
        <v>10</v>
      </c>
      <c r="B20" s="12" t="n">
        <f aca="false">COUNTIFS('Calendario '!$D$3:$D$107,"Estrella",'Calendario '!$B$3:$B$107,B$5,'Calendario '!$C$3:$C$107,B$6,'Calendario '!$E$3:$E$107,$A20)+COUNTIFS('Calendario '!$D$3:$D$107,"Estrella",'Calendario '!$B$3:$B$107,B$5,'Calendario '!$C$3:$C$107,B$6,'Calendario '!$F$3:$F$107,$A20)</f>
        <v>2</v>
      </c>
      <c r="C20" s="12" t="n">
        <f aca="false">COUNTIFS('Calendario '!$D$3:$D$107,"Estrella",'Calendario '!$B$3:$B$107,C$5,'Calendario '!$C$3:$C$107,C$6,'Calendario '!$E$3:$E$107,$A20)+COUNTIFS('Calendario '!$D$3:$D$107,"Estrella",'Calendario '!$B$3:$B$107,C$5,'Calendario '!$C$3:$C$107,C$6,'Calendario '!$F$3:$F$107,$A20)</f>
        <v>2</v>
      </c>
      <c r="D20" s="12" t="n">
        <f aca="false">COUNTIFS('Calendario '!$D$3:$D$107,"Estrella",'Calendario '!$B$3:$B$107,D$5,'Calendario '!$C$3:$C$107,D$6,'Calendario '!$E$3:$E$107,$A20)+COUNTIFS('Calendario '!$D$3:$D$107,"Estrella",'Calendario '!$B$3:$B$107,D$5,'Calendario '!$C$3:$C$107,D$6,'Calendario '!$F$3:$F$107,$A20)</f>
        <v>2</v>
      </c>
      <c r="E20" s="12" t="n">
        <f aca="false">COUNTIFS('Calendario '!$D$3:$D$107,"Estrella",'Calendario '!$B$3:$B$107,E$5,'Calendario '!$C$3:$C$107,E$6,'Calendario '!$E$3:$E$107,$A20)+COUNTIFS('Calendario '!$D$3:$D$107,"Estrella",'Calendario '!$B$3:$B$107,E$5,'Calendario '!$C$3:$C$107,E$6,'Calendario '!$F$3:$F$107,$A20)</f>
        <v>2</v>
      </c>
      <c r="F20" s="13" t="n">
        <f aca="false">SUM(B20:E20)</f>
        <v>8</v>
      </c>
      <c r="G20" s="12" t="n">
        <f aca="false">COUNTIFS('Calendario '!$D$3:$D$107,"Kennedy",'Calendario '!$B$3:$B$107,G$5,'Calendario '!$C$3:$C$107,G$6,'Calendario '!$E$3:$E$107,$A20)+COUNTIFS('Calendario '!$D$3:$D$107,"Kennedy",'Calendario '!$B$3:$B$107,G$5,'Calendario '!$C$3:$C$107,G$6,'Calendario '!$F$3:$F$107,$A20)</f>
        <v>1</v>
      </c>
      <c r="H20" s="12" t="n">
        <f aca="false">COUNTIFS('Calendario '!$D$3:$D$107,"Kennedy",'Calendario '!$B$3:$B$107,H$5,'Calendario '!$C$3:$C$107,H$6,'Calendario '!$E$3:$E$107,$A20)+COUNTIFS('Calendario '!$D$3:$D$107,"Kennedy",'Calendario '!$B$3:$B$107,H$5,'Calendario '!$C$3:$C$107,H$6,'Calendario '!$F$3:$F$107,$A20)</f>
        <v>1</v>
      </c>
      <c r="I20" s="12" t="n">
        <f aca="false">COUNTIFS('Calendario '!$D$3:$D$107,"Kennedy",'Calendario '!$B$3:$B$107,I$5,'Calendario '!$C$3:$C$107,I$6,'Calendario '!$E$3:$E$107,$A20)+COUNTIFS('Calendario '!$D$3:$D$107,"Kennedy",'Calendario '!$B$3:$B$107,I$5,'Calendario '!$C$3:$C$107,I$6,'Calendario '!$F$3:$F$107,$A20)</f>
        <v>1</v>
      </c>
      <c r="J20" s="14" t="n">
        <f aca="false">SUM(G20:I20)</f>
        <v>3</v>
      </c>
      <c r="K20" s="12" t="n">
        <f aca="false">SUMIF($B$5:$I$5,"Jueves",B20:I20)</f>
        <v>4</v>
      </c>
      <c r="L20" s="12" t="n">
        <f aca="false">SUMIF($B$5:$I$5,"Sábado",B20:I20)</f>
        <v>7</v>
      </c>
      <c r="M20" s="15" t="n">
        <f aca="false">F20+J20</f>
        <v>11</v>
      </c>
      <c r="N20" s="12" t="n">
        <f aca="false">COUNTIFS('Calendario '!$A$3:$A$107,"Jornada jugada",'Calendario '!$E$3:$E$107,$A20)+COUNTIFS('Calendario '!$A$3:$A$107,"Jornada jugada",'Calendario '!$F$3:$F$107,$A20)</f>
        <v>2</v>
      </c>
      <c r="O20" s="15" t="n">
        <f aca="false">M20+N20</f>
        <v>13</v>
      </c>
      <c r="P20" s="12" t="n">
        <f aca="false">COUNTIF('Calendario '!$E$3:$E$107,$A20)</f>
        <v>7</v>
      </c>
      <c r="Q20" s="12" t="n">
        <f aca="false">COUNTIF('Calendario '!$F$3:$F$107,$A20)</f>
        <v>6</v>
      </c>
    </row>
    <row r="21" customFormat="false" ht="15" hidden="false" customHeight="false" outlineLevel="0" collapsed="false">
      <c r="A21" s="16" t="s">
        <v>84</v>
      </c>
      <c r="B21" s="17" t="n">
        <f aca="false">SUM(B7:B20)/2</f>
        <v>11</v>
      </c>
      <c r="C21" s="17" t="n">
        <f aca="false">SUM(C7:C20)/2</f>
        <v>11</v>
      </c>
      <c r="D21" s="17" t="n">
        <f aca="false">SUM(D7:D20)/2</f>
        <v>11</v>
      </c>
      <c r="E21" s="17" t="n">
        <f aca="false">SUM(E7:E20)/2</f>
        <v>11</v>
      </c>
      <c r="F21" s="17" t="n">
        <f aca="false">SUM(F7:F20)/2</f>
        <v>44</v>
      </c>
      <c r="G21" s="17" t="n">
        <f aca="false">SUM(G7:G20)/2</f>
        <v>11</v>
      </c>
      <c r="H21" s="17" t="n">
        <f aca="false">SUM(H7:H20)/2</f>
        <v>11</v>
      </c>
      <c r="I21" s="17" t="n">
        <f aca="false">SUM(I7:I20)/2</f>
        <v>11</v>
      </c>
      <c r="J21" s="17" t="n">
        <f aca="false">SUM(J7:J20)/2</f>
        <v>33</v>
      </c>
      <c r="K21" s="17" t="n">
        <f aca="false">SUM(K7:K20)/2</f>
        <v>22</v>
      </c>
      <c r="L21" s="17" t="n">
        <f aca="false">SUM(L7:L20)/2</f>
        <v>55</v>
      </c>
      <c r="M21" s="17" t="n">
        <f aca="false">SUM(M7:M20)/2</f>
        <v>77</v>
      </c>
      <c r="N21" s="17" t="n">
        <f aca="false">SUM(N7:N20)/2</f>
        <v>14</v>
      </c>
      <c r="O21" s="17" t="n">
        <f aca="false">SUM(O7:O20)/2</f>
        <v>91</v>
      </c>
      <c r="P21" s="17" t="n">
        <f aca="false">SUM(P7:P20)</f>
        <v>91</v>
      </c>
      <c r="Q21" s="17" t="n">
        <f aca="false">SUM(Q7:Q20)</f>
        <v>91</v>
      </c>
    </row>
    <row r="23" customFormat="false" ht="15" hidden="false" customHeight="false" outlineLevel="0" collapsed="false">
      <c r="A23" s="18" t="s">
        <v>85</v>
      </c>
    </row>
    <row r="24" customFormat="false" ht="15" hidden="false" customHeight="false" outlineLevel="0" collapsed="false">
      <c r="A24" s="19" t="s">
        <v>86</v>
      </c>
    </row>
    <row r="25" customFormat="false" ht="15" hidden="false" customHeight="false" outlineLevel="0" collapsed="false">
      <c r="A25" s="19" t="s">
        <v>87</v>
      </c>
    </row>
    <row r="26" customFormat="false" ht="15" hidden="false" customHeight="false" outlineLevel="0" collapsed="false">
      <c r="A26" s="19" t="s">
        <v>88</v>
      </c>
    </row>
  </sheetData>
  <mergeCells count="13">
    <mergeCell ref="A4:A6"/>
    <mergeCell ref="B4:F4"/>
    <mergeCell ref="G4:J4"/>
    <mergeCell ref="K4:Q4"/>
    <mergeCell ref="F5:F6"/>
    <mergeCell ref="J5:J6"/>
    <mergeCell ref="K5:K6"/>
    <mergeCell ref="L5:L6"/>
    <mergeCell ref="M5:M6"/>
    <mergeCell ref="N5:N6"/>
    <mergeCell ref="O5:O6"/>
    <mergeCell ref="P5:P6"/>
    <mergeCell ref="Q5:Q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2026-10-16T20:43:42Z</dcterms:created>
  <dc:creator>openpyxl</dc:creator>
  <dc:description/>
  <dc:language>en-US</dc:language>
  <cp:lastModifiedBy>Carlos Paguada Velasquez</cp:lastModifiedBy>
  <dcterms:modified xsi:type="dcterms:W3CDTF">2026-10-16T21:53:25Z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